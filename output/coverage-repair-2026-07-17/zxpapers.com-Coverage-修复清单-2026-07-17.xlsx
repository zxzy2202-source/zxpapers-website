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f49be5692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复看板" sheetId="1" r:id="Re260fe88fd774cbf"/>
    <x:sheet xmlns:r="http://schemas.openxmlformats.org/officeDocument/2006/relationships" name="修复清单" sheetId="2" r:id="R6067932b4f454220"/>
    <x:sheet xmlns:r="http://schemas.openxmlformats.org/officeDocument/2006/relationships" name="源数据-趋势" sheetId="3" r:id="R31cc70a9b35d4d46"/>
    <x:sheet xmlns:r="http://schemas.openxmlformats.org/officeDocument/2006/relationships" name="源数据-严重问题" sheetId="4" r:id="R5804890a456b4a14"/>
    <x:sheet xmlns:r="http://schemas.openxmlformats.org/officeDocument/2006/relationships" name="源数据-非严重问题" sheetId="5" r:id="Rd2ed123231b94d7f"/>
    <x:sheet xmlns:r="http://schemas.openxmlformats.org/officeDocument/2006/relationships" name="源数据-元数据" sheetId="6" r:id="R74aefd5334ad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21">
    <x:font>
      <x:sz val="11"/>
      <x:name val="Carlito"/>
    </x:font>
    <x:font>
      <x:b/>
      <x:sz val="11"/>
      <x:color rgb="FFFFFFFF"/>
      <x:name val="Carlito"/>
    </x:font>
    <x:font>
      <x:sz val="11"/>
      <x:color rgb="FF374151"/>
      <x:name val="Carlito"/>
    </x:font>
    <x:font>
      <x:b/>
      <x:sz val="11"/>
      <x:color rgb="FF374151"/>
      <x:name val="Carlito"/>
    </x:font>
    <x:font>
      <x:b/>
      <x:sz val="11"/>
      <x:color rgb="FFB91C1C"/>
      <x:name val="Carlito"/>
    </x:font>
    <x:font>
      <x:b/>
      <x:sz val="11"/>
      <x:color rgb="FF166534"/>
      <x:name val="Carlito"/>
    </x:font>
    <x:font>
      <x:b/>
      <x:sz val="11"/>
      <x:color rgb="FF1D4ED8"/>
      <x:name val="Carlito"/>
    </x:font>
    <x:font>
      <x:b/>
      <x:sz val="11"/>
      <x:color rgb="FFB45309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1"/>
      <x:color rgb="FFFFFFFF"/>
      <x:name val="Aptos"/>
    </x:font>
    <x:font>
      <x:sz val="11"/>
      <x:color rgb="FF374151"/>
      <x:name val="Aptos"/>
    </x:font>
    <x:font>
      <x:b/>
      <x:sz val="11"/>
      <x:color rgb="FF374151"/>
      <x:name val="Aptos"/>
    </x:font>
    <x:font>
      <x:b/>
      <x:sz val="11"/>
      <x:color rgb="FFB91C1C"/>
      <x:name val="Aptos"/>
    </x:font>
    <x:font>
      <x:b/>
      <x:sz val="11"/>
      <x:color rgb="FF166534"/>
      <x:name val="Aptos"/>
    </x:font>
    <x:font>
      <x:b/>
      <x:sz val="11"/>
      <x:color rgb="FF1D4ED8"/>
      <x:name val="Aptos"/>
    </x:font>
    <x:font>
      <x:b/>
      <x:sz val="11"/>
      <x:color rgb="FFB45309"/>
      <x:name val="Aptos"/>
    </x:font>
    <x:font>
      <x:sz val="11"/>
      <x:name val="Aptos"/>
    </x:font>
    <x:font>
      <x:sz val="11"/>
      <x:color rgb="FF111827"/>
      <x:name val="Aptos"/>
    </x:font>
    <x:font>
      <x:b/>
      <x:sz val="11"/>
      <x:color rgb="FF111827"/>
      <x:name val="Aptos"/>
    </x:font>
    <x:font>
      <x:b/>
      <x:sz val="11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0F2B5B"/>
      </x:patternFill>
    </x:fill>
    <x:fill>
      <x:patternFill patternType="solid">
        <x:fgColor rgb="FFF3F4F6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EAF2FF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</x:fills>
  <x:borders count="29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bottom style="thin">
        <x:color rgb="FFD1D5DB"/>
      </x:bottom>
    </x:border>
  </x:borders>
  <x:cellStyleXfs count="1">
    <x:xf numFmtId="0" fontId="0" fillId="0" borderId="0"/>
  </x:cellStyleXfs>
  <x:cellXfs count="2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200" fontId="5" fillId="5" borderId="3" xfId="0" applyNumberFormat="1" applyFont="1" applyFill="1" applyBorder="1"/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200" fontId="5" fillId="5" borderId="6" xfId="0" applyNumberFormat="1" applyFont="1" applyFill="1" applyBorder="1"/>
    <x:xf numFmtId="200" fontId="5" fillId="5" borderId="3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/>
    </x:xf>
    <x:xf numFmtId="200" fontId="5" fillId="5" borderId="5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200" fontId="5" fillId="5" borderId="3" xfId="0" applyNumberFormat="1" applyFont="1" applyFill="1" applyBorder="1" applyAlignment="1">
      <x:alignment horizontal="center" vertical="center"/>
    </x:xf>
    <x:xf numFmtId="200" fontId="5" fillId="5" borderId="4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201" fontId="6" fillId="6" borderId="3" xfId="0" applyNumberFormat="1" applyFont="1" applyFill="1" applyBorder="1"/>
    <x:xf numFmtId="201" fontId="6" fillId="6" borderId="4" xfId="0" applyNumberFormat="1" applyFont="1" applyFill="1" applyBorder="1"/>
    <x:xf numFmtId="201" fontId="6" fillId="6" borderId="5" xfId="0" applyNumberFormat="1" applyFont="1" applyFill="1" applyBorder="1"/>
    <x:xf numFmtId="201" fontId="6" fillId="6" borderId="6" xfId="0" applyNumberFormat="1" applyFont="1" applyFill="1" applyBorder="1"/>
    <x:xf numFmtId="201" fontId="6" fillId="6" borderId="3" xfId="0" applyNumberFormat="1" applyFont="1" applyFill="1" applyBorder="1" applyAlignment="1">
      <x:alignment horizontal="center"/>
    </x:xf>
    <x:xf numFmtId="201" fontId="6" fillId="6" borderId="4" xfId="0" applyNumberFormat="1" applyFont="1" applyFill="1" applyBorder="1" applyAlignment="1">
      <x:alignment horizontal="center"/>
    </x:xf>
    <x:xf numFmtId="201" fontId="6" fillId="6" borderId="5" xfId="0" applyNumberFormat="1" applyFont="1" applyFill="1" applyBorder="1" applyAlignment="1">
      <x:alignment horizontal="center"/>
    </x:xf>
    <x:xf numFmtId="201" fontId="6" fillId="6" borderId="6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 vertical="center"/>
    </x:xf>
    <x:xf numFmtId="201" fontId="6" fillId="6" borderId="4" xfId="0" applyNumberFormat="1" applyFont="1" applyFill="1" applyBorder="1" applyAlignment="1">
      <x:alignment horizontal="center" vertical="center"/>
    </x:xf>
    <x:xf numFmtId="201" fontId="6" fillId="6" borderId="5" xfId="0" applyNumberFormat="1" applyFont="1" applyFill="1" applyBorder="1" applyAlignment="1">
      <x:alignment horizontal="center" vertical="center"/>
    </x:xf>
    <x:xf numFmtId="201" fontId="6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201" fontId="7" fillId="7" borderId="3" xfId="0" applyNumberFormat="1" applyFont="1" applyFill="1" applyBorder="1"/>
    <x:xf numFmtId="201" fontId="7" fillId="7" borderId="4" xfId="0" applyNumberFormat="1" applyFont="1" applyFill="1" applyBorder="1"/>
    <x:xf numFmtId="201" fontId="7" fillId="7" borderId="5" xfId="0" applyNumberFormat="1" applyFont="1" applyFill="1" applyBorder="1"/>
    <x:xf numFmtId="201" fontId="7" fillId="7" borderId="6" xfId="0" applyNumberFormat="1" applyFont="1" applyFill="1" applyBorder="1"/>
    <x:xf numFmtId="201" fontId="7" fillId="7" borderId="3" xfId="0" applyNumberFormat="1" applyFont="1" applyFill="1" applyBorder="1" applyAlignment="1">
      <x:alignment horizontal="center"/>
    </x:xf>
    <x:xf numFmtId="201" fontId="7" fillId="7" borderId="4" xfId="0" applyNumberFormat="1" applyFont="1" applyFill="1" applyBorder="1" applyAlignment="1">
      <x:alignment horizontal="center"/>
    </x:xf>
    <x:xf numFmtId="201" fontId="7" fillId="7" borderId="5" xfId="0" applyNumberFormat="1" applyFont="1" applyFill="1" applyBorder="1" applyAlignment="1">
      <x:alignment horizontal="center"/>
    </x:xf>
    <x:xf numFmtId="201" fontId="7" fillId="7" borderId="6" xfId="0" applyNumberFormat="1" applyFont="1" applyFill="1" applyBorder="1" applyAlignment="1">
      <x:alignment horizontal="center"/>
    </x:xf>
    <x:xf numFmtId="201" fontId="7" fillId="7" borderId="3" xfId="0" applyNumberFormat="1" applyFont="1" applyFill="1" applyBorder="1" applyAlignment="1">
      <x:alignment horizontal="center" vertical="center"/>
    </x:xf>
    <x:xf numFmtId="201" fontId="7" fillId="7" borderId="4" xfId="0" applyNumberFormat="1" applyFont="1" applyFill="1" applyBorder="1" applyAlignment="1">
      <x:alignment horizontal="center" vertical="center"/>
    </x:xf>
    <x:xf numFmtId="201" fontId="7" fillId="7" borderId="5" xfId="0" applyNumberFormat="1" applyFont="1" applyFill="1" applyBorder="1" applyAlignment="1">
      <x:alignment horizontal="center" vertical="center"/>
    </x:xf>
    <x:xf numFmtId="201" fontId="7" fillId="7" borderId="6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9" fillId="3" borderId="19" xfId="0" applyNumberFormat="1" applyFont="1" applyFill="1" applyBorder="1"/>
    <x:xf numFmtId="0" fontId="9" fillId="3" borderId="20" xfId="0" applyNumberFormat="1" applyFont="1" applyFill="1" applyBorder="1"/>
    <x:xf numFmtId="0" fontId="9" fillId="3" borderId="21" xfId="0" applyNumberFormat="1" applyFont="1" applyFill="1" applyBorder="1"/>
    <x:xf numFmtId="200" fontId="0" fillId="0" borderId="14" xfId="0" applyNumberFormat="1" applyFont="1" applyFill="1" applyBorder="1"/>
    <x:xf numFmtId="200" fontId="9" fillId="3" borderId="2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9" fillId="3" borderId="2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8" fillId="3" borderId="24" xfId="0" applyNumberFormat="1" applyFont="1" applyFill="1" applyBorder="1"/>
    <x:xf numFmtId="0" fontId="8" fillId="3" borderId="22" xfId="0" applyNumberFormat="1" applyFont="1" applyFill="1" applyBorder="1" applyAlignment="1">
      <x:alignment wrapText="1"/>
    </x:xf>
    <x:xf numFmtId="0" fontId="8" fillId="3" borderId="23" xfId="0" applyNumberFormat="1" applyFont="1" applyFill="1" applyBorder="1" applyAlignment="1">
      <x:alignment wrapText="1"/>
    </x:xf>
    <x:xf numFmtId="0" fontId="8" fillId="3" borderId="24" xfId="0" applyNumberFormat="1" applyFont="1" applyFill="1" applyBorder="1" applyAlignment="1">
      <x:alignment wrapText="1"/>
    </x:xf>
    <x:xf numFmtId="0" fontId="8" fillId="3" borderId="22" xfId="0" applyNumberFormat="1" applyFont="1" applyFill="1" applyBorder="1" applyAlignment="1">
      <x:alignment vertical="center" wrapText="1"/>
    </x:xf>
    <x:xf numFmtId="0" fontId="8" fillId="3" borderId="23" xfId="0" applyNumberFormat="1" applyFont="1" applyFill="1" applyBorder="1" applyAlignment="1">
      <x:alignment vertical="center" wrapText="1"/>
    </x:xf>
    <x:xf numFmtId="0" fontId="8" fillId="3" borderId="2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2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  <x:xf numFmtId="0" fontId="8" fillId="8" borderId="24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/>
    <x:xf numFmtId="0" fontId="2" fillId="3" borderId="25" xfId="0" applyNumberFormat="1" applyFont="1" applyFill="1" applyBorder="1"/>
    <x:xf numFmtId="0" fontId="2" fillId="3" borderId="4" xfId="0" applyNumberFormat="1" applyFont="1" applyFill="1" applyBorder="1"/>
    <x:xf numFmtId="0" fontId="2" fillId="3" borderId="26" xfId="0" applyNumberFormat="1" applyFont="1" applyFill="1" applyBorder="1"/>
    <x:xf numFmtId="0" fontId="2" fillId="3" borderId="27" xfId="0" applyNumberFormat="1" applyFont="1" applyFill="1" applyBorder="1"/>
    <x:xf numFmtId="0" fontId="2" fillId="3" borderId="5" xfId="0" applyNumberFormat="1" applyFont="1" applyFill="1" applyBorder="1"/>
    <x:xf numFmtId="0" fontId="2" fillId="3" borderId="28" xfId="0" applyNumberFormat="1" applyFont="1" applyFill="1" applyBorder="1"/>
    <x:xf numFmtId="0" fontId="2" fillId="3" borderId="6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2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28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2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26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7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28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202" fontId="8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2" borderId="10" xfId="0" applyNumberFormat="1" applyFont="1" applyFill="1" applyBorder="1" applyAlignment="1">
      <x:alignment vertical="center"/>
    </x:xf>
    <x:xf numFmtId="0" fontId="0" fillId="2" borderId="11" xfId="0" applyNumberFormat="1" applyFont="1" applyFill="1" applyBorder="1" applyAlignment="1">
      <x:alignment vertical="center"/>
    </x:xf>
    <x:xf numFmtId="0" fontId="0" fillId="2" borderId="12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horizontal="center" vertical="center"/>
    </x:xf>
    <x:xf numFmtId="0" fontId="12" fillId="4" borderId="2" xfId="0" applyNumberFormat="1" applyFont="1" applyFill="1" applyBorder="1" applyAlignment="1">
      <x:alignment horizontal="center" vertic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2" fillId="6" borderId="1" xfId="0" applyNumberFormat="1" applyFont="1" applyFill="1" applyBorder="1" applyAlignment="1">
      <x:alignment horizontal="center" vertical="center"/>
    </x:xf>
    <x:xf numFmtId="0" fontId="12" fillId="6" borderId="2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horizontal="center" vertical="center"/>
    </x:xf>
    <x:xf numFmtId="0" fontId="12" fillId="7" borderId="2" xfId="0" applyNumberFormat="1" applyFont="1" applyFill="1" applyBorder="1" applyAlignment="1">
      <x:alignment horizontal="center" vertical="center"/>
    </x:xf>
    <x:xf numFmtId="200" fontId="13" fillId="4" borderId="3" xfId="0" applyNumberFormat="1" applyFont="1" applyFill="1" applyBorder="1" applyAlignment="1">
      <x:alignment horizontal="center" vertical="center"/>
    </x:xf>
    <x:xf numFmtId="200" fontId="13" fillId="4" borderId="4" xfId="0" applyNumberFormat="1" applyFont="1" applyFill="1" applyBorder="1" applyAlignment="1">
      <x:alignment horizontal="center" vertical="center"/>
    </x:xf>
    <x:xf numFmtId="200" fontId="14" fillId="5" borderId="3" xfId="0" applyNumberFormat="1" applyFont="1" applyFill="1" applyBorder="1" applyAlignment="1">
      <x:alignment horizontal="center" vertical="center"/>
    </x:xf>
    <x:xf numFmtId="200" fontId="14" fillId="5" borderId="4" xfId="0" applyNumberFormat="1" applyFont="1" applyFill="1" applyBorder="1" applyAlignment="1">
      <x:alignment horizontal="center" vertical="center"/>
    </x:xf>
    <x:xf numFmtId="201" fontId="15" fillId="6" borderId="3" xfId="0" applyNumberFormat="1" applyFont="1" applyFill="1" applyBorder="1" applyAlignment="1">
      <x:alignment horizontal="center" vertical="center"/>
    </x:xf>
    <x:xf numFmtId="201" fontId="15" fillId="6" borderId="4" xfId="0" applyNumberFormat="1" applyFont="1" applyFill="1" applyBorder="1" applyAlignment="1">
      <x:alignment horizontal="center" vertical="center"/>
    </x:xf>
    <x:xf numFmtId="201" fontId="16" fillId="7" borderId="3" xfId="0" applyNumberFormat="1" applyFont="1" applyFill="1" applyBorder="1" applyAlignment="1">
      <x:alignment horizontal="center" vertical="center"/>
    </x:xf>
    <x:xf numFmtId="201" fontId="16" fillId="7" borderId="4" xfId="0" applyNumberFormat="1" applyFont="1" applyFill="1" applyBorder="1" applyAlignment="1">
      <x:alignment horizontal="center" vertical="center"/>
    </x:xf>
    <x:xf numFmtId="200" fontId="13" fillId="4" borderId="5" xfId="0" applyNumberFormat="1" applyFont="1" applyFill="1" applyBorder="1" applyAlignment="1">
      <x:alignment horizontal="center" vertical="center"/>
    </x:xf>
    <x:xf numFmtId="200" fontId="13" fillId="4" borderId="6" xfId="0" applyNumberFormat="1" applyFont="1" applyFill="1" applyBorder="1" applyAlignment="1">
      <x:alignment horizontal="center" vertical="center"/>
    </x:xf>
    <x:xf numFmtId="200" fontId="14" fillId="5" borderId="5" xfId="0" applyNumberFormat="1" applyFont="1" applyFill="1" applyBorder="1" applyAlignment="1">
      <x:alignment horizontal="center" vertical="center"/>
    </x:xf>
    <x:xf numFmtId="200" fontId="14" fillId="5" borderId="6" xfId="0" applyNumberFormat="1" applyFont="1" applyFill="1" applyBorder="1" applyAlignment="1">
      <x:alignment horizontal="center" vertical="center"/>
    </x:xf>
    <x:xf numFmtId="201" fontId="15" fillId="6" borderId="5" xfId="0" applyNumberFormat="1" applyFont="1" applyFill="1" applyBorder="1" applyAlignment="1">
      <x:alignment horizontal="center" vertical="center"/>
    </x:xf>
    <x:xf numFmtId="201" fontId="15" fillId="6" borderId="6" xfId="0" applyNumberFormat="1" applyFont="1" applyFill="1" applyBorder="1" applyAlignment="1">
      <x:alignment horizontal="center" vertical="center"/>
    </x:xf>
    <x:xf numFmtId="201" fontId="16" fillId="7" borderId="5" xfId="0" applyNumberFormat="1" applyFont="1" applyFill="1" applyBorder="1" applyAlignment="1">
      <x:alignment horizontal="center" vertical="center"/>
    </x:xf>
    <x:xf numFmtId="201" fontId="16" fillId="7" borderId="6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/>
    <x:xf numFmtId="0" fontId="18" fillId="7" borderId="7" xfId="0" applyNumberFormat="1" applyFont="1" applyFill="1" applyBorder="1" applyAlignment="1">
      <x:alignment vertical="center" wrapText="1"/>
    </x:xf>
    <x:xf numFmtId="0" fontId="18" fillId="7" borderId="8" xfId="0" applyNumberFormat="1" applyFont="1" applyFill="1" applyBorder="1" applyAlignment="1">
      <x:alignment vertical="center" wrapText="1"/>
    </x:xf>
    <x:xf numFmtId="0" fontId="18" fillId="7" borderId="9" xfId="0" applyNumberFormat="1" applyFont="1" applyFill="1" applyBorder="1" applyAlignment="1">
      <x:alignment vertical="center" wrapText="1"/>
    </x:xf>
    <x:xf numFmtId="0" fontId="10" fillId="2" borderId="10" xfId="0" applyNumberFormat="1" applyFont="1" applyFill="1" applyBorder="1" applyAlignment="1">
      <x:alignment horizontal="center" vertical="center"/>
    </x:xf>
    <x:xf numFmtId="0" fontId="10" fillId="2" borderId="11" xfId="0" applyNumberFormat="1" applyFont="1" applyFill="1" applyBorder="1" applyAlignment="1">
      <x:alignment horizontal="center" vertical="center"/>
    </x:xf>
    <x:xf numFmtId="0" fontId="10" fillId="2" borderId="12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left"/>
    </x:xf>
    <x:xf numFmtId="0" fontId="17" fillId="0" borderId="13" xfId="0" applyNumberFormat="1" applyFont="1" applyFill="1" applyBorder="1"/>
    <x:xf numFmtId="200" fontId="17" fillId="0" borderId="14" xfId="0" applyNumberFormat="1" applyFont="1" applyFill="1" applyBorder="1"/>
    <x:xf numFmtId="0" fontId="17" fillId="0" borderId="15" xfId="0" applyNumberFormat="1" applyFont="1" applyFill="1" applyBorder="1" applyAlignment="1">
      <x:alignment wrapText="1"/>
    </x:xf>
    <x:xf numFmtId="0" fontId="18" fillId="3" borderId="22" xfId="0" applyNumberFormat="1" applyFont="1" applyFill="1" applyBorder="1" applyAlignment="1">
      <x:alignment vertical="center" wrapText="1"/>
    </x:xf>
    <x:xf numFmtId="0" fontId="18" fillId="3" borderId="23" xfId="0" applyNumberFormat="1" applyFont="1" applyFill="1" applyBorder="1" applyAlignment="1">
      <x:alignment vertical="center" wrapText="1"/>
    </x:xf>
    <x:xf numFmtId="0" fontId="18" fillId="3" borderId="24" xfId="0" applyNumberFormat="1" applyFont="1" applyFill="1" applyBorder="1" applyAlignment="1">
      <x:alignment vertical="center" wrapText="1"/>
    </x:xf>
    <x:xf numFmtId="0" fontId="18" fillId="8" borderId="22" xfId="0" applyNumberFormat="1" applyFont="1" applyFill="1" applyBorder="1" applyAlignment="1">
      <x:alignment vertical="center" wrapText="1"/>
    </x:xf>
    <x:xf numFmtId="0" fontId="18" fillId="8" borderId="23" xfId="0" applyNumberFormat="1" applyFont="1" applyFill="1" applyBorder="1" applyAlignment="1">
      <x:alignment vertical="center" wrapText="1"/>
    </x:xf>
    <x:xf numFmtId="0" fontId="18" fillId="8" borderId="24" xfId="0" applyNumberFormat="1" applyFont="1" applyFill="1" applyBorder="1" applyAlignment="1">
      <x:alignment vertical="center" wrapText="1"/>
    </x:xf>
    <x:xf numFmtId="0" fontId="19" fillId="3" borderId="19" xfId="0" applyNumberFormat="1" applyFont="1" applyFill="1" applyBorder="1"/>
    <x:xf numFmtId="200" fontId="19" fillId="3" borderId="20" xfId="0" applyNumberFormat="1" applyFont="1" applyFill="1" applyBorder="1"/>
    <x:xf numFmtId="0" fontId="19" fillId="3" borderId="21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vertical="top" wrapText="1"/>
    </x:xf>
    <x:xf numFmtId="0" fontId="11" fillId="3" borderId="25" xfId="0" applyNumberFormat="1" applyFont="1" applyFill="1" applyBorder="1" applyAlignment="1">
      <x:alignment vertical="top" wrapText="1"/>
    </x:xf>
    <x:xf numFmtId="0" fontId="11" fillId="3" borderId="4" xfId="0" applyNumberFormat="1" applyFont="1" applyFill="1" applyBorder="1" applyAlignment="1">
      <x:alignment vertical="top" wrapText="1"/>
    </x:xf>
    <x:xf numFmtId="0" fontId="11" fillId="3" borderId="26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27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0" fontId="11" fillId="3" borderId="28" xfId="0" applyNumberFormat="1" applyFont="1" applyFill="1" applyBorder="1" applyAlignment="1">
      <x:alignment vertical="top" wrapText="1"/>
    </x:xf>
    <x:xf numFmtId="0" fontId="11" fillId="3" borderId="6" xfId="0" applyNumberFormat="1" applyFont="1" applyFill="1" applyBorder="1" applyAlignment="1">
      <x:alignment vertical="top" wrapText="1"/>
    </x:xf>
    <x:xf numFmtId="0" fontId="20" fillId="2" borderId="0" xfId="0" applyNumberFormat="1" applyFont="1" applyFill="1" applyBorder="1" applyAlignment="1">
      <x:alignment horizontal="left" vertical="center"/>
    </x:xf>
    <x:xf numFmtId="0" fontId="10" fillId="2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 applyAlignment="1">
      <x:alignment vertical="top" wrapText="1"/>
    </x:xf>
    <x:xf numFmtId="200" fontId="18" fillId="0" borderId="0" xfId="0" applyNumberFormat="1" applyFont="1" applyFill="1" applyBorder="1" applyAlignment="1">
      <x:alignment vertical="top" wrapText="1"/>
    </x:xf>
    <x:xf numFmtId="201" fontId="18" fillId="0" borderId="0" xfId="0" applyNumberFormat="1" applyFont="1" applyFill="1" applyBorder="1" applyAlignment="1">
      <x:alignment vertical="top" wrapText="1"/>
    </x:xf>
    <x:xf numFmtId="0" fontId="18" fillId="7" borderId="0" xfId="0" applyNumberFormat="1" applyFont="1" applyFill="1" applyBorder="1" applyAlignment="1">
      <x:alignment vertical="top" wrapText="1"/>
    </x:xf>
    <x:xf numFmtId="202" fontId="18" fillId="7" borderId="0" xfId="0" applyNumberFormat="1" applyFont="1" applyFill="1" applyBorder="1" applyAlignment="1">
      <x:alignment vertical="top" wrapText="1"/>
    </x:xf>
    <x:xf numFmtId="0" fontId="20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EAF2FF"/>
        </x:patternFill>
      </x:fill>
    </x:dxf>
    <x:dxf>
      <x:font>
        <x:b/>
        <x:color rgb="FF374151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EA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e797876974a9a" /><Relationship Type="http://schemas.openxmlformats.org/officeDocument/2006/relationships/theme" Target="/xl/theme/theme1.xml" Id="R687587ec6d85406f" /><Relationship Type="http://schemas.openxmlformats.org/officeDocument/2006/relationships/sharedStrings" Target="/xl/sharedStrings.xml" Id="R10346fa8fbc24261" /><Relationship Type="http://schemas.openxmlformats.org/officeDocument/2006/relationships/worksheet" Target="/xl/worksheets/sheet1.xml" Id="Re260fe88fd774cbf" /><Relationship Type="http://schemas.openxmlformats.org/officeDocument/2006/relationships/worksheet" Target="/xl/worksheets/sheet2.xml" Id="R6067932b4f454220" /><Relationship Type="http://schemas.openxmlformats.org/officeDocument/2006/relationships/worksheet" Target="/xl/worksheets/sheet3.xml" Id="R31cc70a9b35d4d46" /><Relationship Type="http://schemas.openxmlformats.org/officeDocument/2006/relationships/worksheet" Target="/xl/worksheets/sheet4.xml" Id="R5804890a456b4a14" /><Relationship Type="http://schemas.openxmlformats.org/officeDocument/2006/relationships/worksheet" Target="/xl/worksheets/sheet5.xml" Id="Rd2ed123231b94d7f" /><Relationship Type="http://schemas.openxmlformats.org/officeDocument/2006/relationships/worksheet" Target="/xl/worksheets/sheet6.xml" Id="R74aefd5334ad42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049a89a48546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收录与未收录页面趋势（页面数）</a:t>
            </a:r>
          </a:p>
        </c:rich>
      </c:tx>
    </c:title>
    <c:plotArea>
      <c:lineChart>
        <c:grouping val="standard"/>
        <c:ser>
          <c:idx val="0"/>
          <c:order val="0"/>
          <c:tx>
            <c:v>未编入索引</c:v>
          </c:tx>
          <c:marker>
            <c:symbol val="none"/>
          </c:marker>
          <c:cat>
            <c:strRef>
              <c:f>'源数据-趋势'!$A$2:$A$85</c:f>
              <c:strCache>
                <c:ptCount val="0"/>
              </c:strCache>
            </c:strRef>
          </c:cat>
          <c:val>
            <c:numRef>
              <c:f>'源数据-趋势'!$B$2:$B$85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已编入索引</c:v>
          </c:tx>
          <c:marker>
            <c:symbol val="none"/>
          </c:marker>
          <c:cat>
            <c:strRef>
              <c:f>'源数据-趋势'!$A$2:$A$85</c:f>
              <c:strCache>
                <c:ptCount val="0"/>
              </c:strCache>
            </c:strRef>
          </c:cat>
          <c:val>
            <c:numRef>
              <c:f>'源数据-趋势'!$C$2:$C$85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049a89a48546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verageRepairTasks" displayName="CoverageRepairTasks" ref="A4:Q18" headerRowCount="1" totalsRowCount="0" totalsRowShown="0">
  <x:autoFilter ref="A4:Q18"/>
  <x:tableColumns count="17">
    <x:tableColumn id="1" name="ID"/>
    <x:tableColumn id="2" name="优先级"/>
    <x:tableColumn id="3" name="GSC类别"/>
    <x:tableColumn id="4" name="问题类型"/>
    <x:tableColumn id="5" name="受影响页"/>
    <x:tableColumn id="6" name="占未收录"/>
    <x:tableColumn id="7" name="原验证状态"/>
    <x:tableColumn id="8" name="处理结论"/>
    <x:tableColumn id="9" name="第一动作"/>
    <x:tableColumn id="10" name="具体修复步骤"/>
    <x:tableColumn id="11" name="代码/配置落点"/>
    <x:tableColumn id="12" name="验收标准"/>
    <x:tableColumn id="13" name="负责人"/>
    <x:tableColumn id="14" name="状态"/>
    <x:tableColumn id="15" name="计划完成"/>
    <x:tableColumn id="16" name="GSC复验"/>
    <x:tableColumn id="17" name="风险/依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67c1f299a947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f53d00c53044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288" t="str">
        <x:v>zxpapers.com Google 收录修复看板</x:v>
      </x:c>
      <x:c r="B1" s="288"/>
      <x:c r="C1" s="288"/>
      <x:c r="D1" s="288"/>
      <x:c r="E1" s="288"/>
      <x:c r="F1" s="288"/>
      <x:c r="G1" s="288"/>
      <x:c r="H1" s="288"/>
    </x:row>
    <x:row r="2" ht="26" customHeight="1">
      <x:c r="A2" s="288"/>
      <x:c r="B2" s="288"/>
      <x:c r="C2" s="288"/>
      <x:c r="D2" s="288"/>
      <x:c r="E2" s="288"/>
      <x:c r="F2" s="288"/>
      <x:c r="G2" s="288"/>
      <x:c r="H2" s="288"/>
    </x:row>
    <x:row r="3" ht="22" customHeight="1">
      <x:c r="A3" s="234" t="str">
        <x:f>"数据截止："&amp;'源数据-趋势'!A85&amp;"｜来源：Google Search Console Coverage 导出（2026-07-17）"</x:f>
        <x:v>数据截止：2026-07-10｜来源：Google Search Console Coverage 导出（2026-07-17）</x:v>
      </x:c>
      <x:c r="B3" s="234"/>
      <x:c r="C3" s="234"/>
      <x:c r="D3" s="234"/>
      <x:c r="E3" s="234"/>
      <x:c r="F3" s="234"/>
      <x:c r="G3" s="234"/>
      <x:c r="H3" s="234"/>
    </x:row>
    <x:row r="4" ht="22" customHeight="1">
      <x:c r="A4" s="235" t="str">
        <x:v>当前未收录</x:v>
      </x:c>
      <x:c r="B4" s="236"/>
      <x:c r="C4" s="237" t="str">
        <x:v>当前已收录</x:v>
      </x:c>
      <x:c r="D4" s="238"/>
      <x:c r="E4" s="239" t="str">
        <x:v>当前收录率</x:v>
      </x:c>
      <x:c r="F4" s="240"/>
      <x:c r="G4" s="241" t="str">
        <x:v>较 4 月 20 日变化</x:v>
      </x:c>
      <x:c r="H4" s="242"/>
    </x:row>
    <x:row r="5" ht="25" customHeight="1">
      <x:c r="A5" s="243" t="n">
        <x:f>'源数据-趋势'!B85</x:f>
        <x:v>5621</x:v>
      </x:c>
      <x:c r="B5" s="244"/>
      <x:c r="C5" s="245" t="n">
        <x:f>'源数据-趋势'!C85</x:f>
        <x:v>236</x:v>
      </x:c>
      <x:c r="D5" s="246"/>
      <x:c r="E5" s="247" t="n">
        <x:f>C5/(A5+C5)</x:f>
        <x:v>0.04029366569916339</x:v>
      </x:c>
      <x:c r="F5" s="248"/>
      <x:c r="G5" s="249" t="n">
        <x:f>E5-('源数据-趋势'!C4/('源数据-趋势'!B4+'源数据-趋势'!C4))</x:f>
        <x:v>-0.2764440092856206</x:v>
      </x:c>
      <x:c r="H5" s="250"/>
    </x:row>
    <x:row r="6" ht="25" customHeight="1">
      <x:c r="A6" s="251"/>
      <x:c r="B6" s="252"/>
      <x:c r="C6" s="253"/>
      <x:c r="D6" s="254"/>
      <x:c r="E6" s="255"/>
      <x:c r="F6" s="256"/>
      <x:c r="G6" s="257"/>
      <x:c r="H6" s="258"/>
    </x:row>
    <x:row r="7">
      <x:c r="A7" s="259"/>
      <x:c r="B7" s="259"/>
      <x:c r="C7" s="259"/>
      <x:c r="D7" s="259"/>
      <x:c r="E7" s="259"/>
      <x:c r="F7" s="259"/>
      <x:c r="G7" s="259"/>
      <x:c r="H7" s="259"/>
    </x:row>
    <x:row r="8" ht="42" customHeight="1">
      <x:c r="A8" s="260" t="str">
        <x:v>解读：未收录量从 4 月 20 日的 5,613 个变为 7 月 10 日的 5,621 个，几乎未改善；同期已收录量由 2,602 个降至 236 个。先核对 URL 样本与站点迁移/属性口径，再批量修改。</x:v>
      </x:c>
      <x:c r="B8" s="261"/>
      <x:c r="C8" s="261"/>
      <x:c r="D8" s="261"/>
      <x:c r="E8" s="261"/>
      <x:c r="F8" s="261"/>
      <x:c r="G8" s="261"/>
      <x:c r="H8" s="262"/>
    </x:row>
    <x:row r="9">
      <x:c r="A9" s="259"/>
      <x:c r="B9" s="259"/>
      <x:c r="C9" s="259"/>
      <x:c r="D9" s="259"/>
      <x:c r="E9" s="259"/>
      <x:c r="F9" s="259"/>
      <x:c r="G9" s="259"/>
      <x:c r="H9" s="259"/>
    </x:row>
    <x:row r="10" ht="32" customHeight="1">
      <x:c r="A10" s="263" t="str">
        <x:v>优先级</x:v>
      </x:c>
      <x:c r="B10" s="264" t="str">
        <x:v>问题数</x:v>
      </x:c>
      <x:c r="C10" s="264" t="str">
        <x:v>涉及页面</x:v>
      </x:c>
      <x:c r="D10" s="265" t="str">
        <x:v>执行要求</x:v>
      </x:c>
      <x:c r="E10" s="259"/>
      <x:c r="F10" s="266" t="str">
        <x:v>首轮执行顺序</x:v>
      </x:c>
      <x:c r="G10" s="266"/>
      <x:c r="H10" s="266"/>
    </x:row>
    <x:row r="11" ht="32" customHeight="1">
      <x:c r="A11" s="267" t="str">
        <x:v>P0</x:v>
      </x:c>
      <x:c r="B11" s="268" t="n">
        <x:f>COUNTIF('修复清单'!$B$5:$B$18,A11)</x:f>
        <x:v>4</x:v>
      </x:c>
      <x:c r="C11" s="268" t="n">
        <x:f>SUMIF('修复清单'!$B$5:$B$18,A11,'修复清单'!$E$5:$E$18)</x:f>
        <x:v>2456</x:v>
      </x:c>
      <x:c r="D11" s="269" t="str">
        <x:v>立即排障，先恢复正确 HTTP 状态</x:v>
      </x:c>
      <x:c r="E11" s="259"/>
      <x:c r="F11" s="270" t="str">
        <x:v>1. 从 GSC 各问题页导出示例 URL；原文件没有 URL 明细。</x:v>
      </x:c>
      <x:c r="G11" s="271"/>
      <x:c r="H11" s="272"/>
    </x:row>
    <x:row r="12" ht="32" customHeight="1">
      <x:c r="A12" s="267" t="str">
        <x:v>P1</x:v>
      </x:c>
      <x:c r="B12" s="268" t="n">
        <x:f>COUNTIF('修复清单'!$B$5:$B$18,A12)</x:f>
        <x:v>6</x:v>
      </x:c>
      <x:c r="C12" s="268" t="n">
        <x:f>SUMIF('修复清单'!$B$5:$B$18,A12,'修复清单'!$E$5:$E$18)</x:f>
        <x:v>3138</x:v>
      </x:c>
      <x:c r="D12" s="269" t="str">
        <x:v>本周分批处理，先高价值/可索引 URL</x:v>
      </x:c>
      <x:c r="E12" s="259"/>
      <x:c r="F12" s="273" t="str">
        <x:v>2. 先修 5xx、重定向错误和仍被内部链接/站点地图引用的 404。</x:v>
      </x:c>
      <x:c r="G12" s="274"/>
      <x:c r="H12" s="275"/>
    </x:row>
    <x:row r="13" ht="32" customHeight="1">
      <x:c r="A13" s="267" t="str">
        <x:v>P2</x:v>
      </x:c>
      <x:c r="B13" s="268" t="n">
        <x:f>COUNTIF('修复清单'!$B$5:$B$18,A13)</x:f>
        <x:v>3</x:v>
      </x:c>
      <x:c r="C13" s="268" t="n">
        <x:f>SUMIF('修复清单'!$B$5:$B$18,A13,'修复清单'!$E$5:$E$18)</x:f>
        <x:v>42</x:v>
      </x:c>
      <x:c r="D13" s="269" t="str">
        <x:v>确认是否为预期排除，再做清理</x:v>
      </x:c>
      <x:c r="E13" s="259"/>
      <x:c r="F13" s="270" t="str">
        <x:v>3. 清理站点地图和内部链接中的重定向、noindex、404 URL。</x:v>
      </x:c>
      <x:c r="G13" s="271"/>
      <x:c r="H13" s="272"/>
    </x:row>
    <x:row r="14" ht="32" customHeight="1">
      <x:c r="A14" s="267" t="str">
        <x:v>P3</x:v>
      </x:c>
      <x:c r="B14" s="268" t="n">
        <x:f>COUNTIF('修复清单'!$B$5:$B$18,A14)</x:f>
        <x:v>1</x:v>
      </x:c>
      <x:c r="C14" s="268" t="n">
        <x:f>SUMIF('修复清单'!$B$5:$B$18,A14,'修复清单'!$E$5:$E$18)</x:f>
        <x:v>0</x:v>
      </x:c>
      <x:c r="D14" s="269" t="str">
        <x:v>关闭或仅监控</x:v>
      </x:c>
      <x:c r="E14" s="259"/>
      <x:c r="F14" s="273" t="str">
        <x:v>4. 按模板聚类检查“已抓取未收录”，保留有独立搜索意图的页面。</x:v>
      </x:c>
      <x:c r="G14" s="274"/>
      <x:c r="H14" s="275"/>
    </x:row>
    <x:row r="15" ht="32" customHeight="1">
      <x:c r="A15" s="276" t="str">
        <x:v>合计</x:v>
      </x:c>
      <x:c r="B15" s="277" t="n">
        <x:f>SUM(B11:B14)</x:f>
        <x:v>14</x:v>
      </x:c>
      <x:c r="C15" s="277" t="n">
        <x:f>SUM(C11:C14)</x:f>
        <x:v>5636</x:v>
      </x:c>
      <x:c r="D15" s="278" t="str">
        <x:v>涉及页面含 15 个已收录但受 robots 屏蔽的 URL</x:v>
      </x:c>
      <x:c r="E15" s="259"/>
      <x:c r="F15" s="270" t="str">
        <x:v>5. 部署后用 URL 检查抽样，再启动 GSC 验证并记录日期。</x:v>
      </x:c>
      <x:c r="G15" s="271"/>
      <x:c r="H15" s="272"/>
    </x:row>
    <x:row r="16">
      <x:c r="A16" s="259"/>
      <x:c r="B16" s="259"/>
      <x:c r="C16" s="259"/>
      <x:c r="D16" s="259"/>
      <x:c r="E16" s="259"/>
      <x:c r="F16" s="259"/>
      <x:c r="G16" s="259"/>
      <x:c r="H16" s="259"/>
    </x:row>
    <x:row r="17">
      <x:c r="A17" s="259"/>
      <x:c r="B17" s="259"/>
      <x:c r="C17" s="259"/>
      <x:c r="D17" s="259"/>
      <x:c r="E17" s="259"/>
      <x:c r="F17" s="259"/>
      <x:c r="G17" s="259"/>
      <x:c r="H17" s="259"/>
    </x:row>
    <x:row r="18">
      <x:c r="A18" s="259"/>
      <x:c r="B18" s="259"/>
      <x:c r="C18" s="259"/>
      <x:c r="D18" s="259"/>
      <x:c r="E18" s="259"/>
      <x:c r="F18" s="259"/>
      <x:c r="G18" s="259"/>
      <x:c r="H18" s="259"/>
    </x:row>
    <x:row r="19">
      <x:c r="A19" s="259"/>
      <x:c r="B19" s="259"/>
      <x:c r="C19" s="259"/>
      <x:c r="D19" s="259"/>
      <x:c r="E19" s="259"/>
      <x:c r="F19" s="259"/>
      <x:c r="G19" s="259"/>
      <x:c r="H19" s="259"/>
    </x:row>
    <x:row r="20">
      <x:c r="A20" s="259"/>
      <x:c r="B20" s="259"/>
      <x:c r="C20" s="259"/>
      <x:c r="D20" s="259"/>
      <x:c r="E20" s="259"/>
      <x:c r="F20" s="259"/>
      <x:c r="G20" s="259"/>
      <x:c r="H20" s="259"/>
    </x:row>
    <x:row r="21">
      <x:c r="A21" s="259"/>
      <x:c r="B21" s="259"/>
      <x:c r="C21" s="259"/>
      <x:c r="D21" s="259"/>
      <x:c r="E21" s="259"/>
      <x:c r="F21" s="259"/>
      <x:c r="G21" s="259"/>
      <x:c r="H21" s="259"/>
    </x:row>
    <x:row r="22">
      <x:c r="A22" s="259"/>
      <x:c r="B22" s="259"/>
      <x:c r="C22" s="259"/>
      <x:c r="D22" s="259"/>
      <x:c r="E22" s="259"/>
      <x:c r="F22" s="259"/>
      <x:c r="G22" s="259"/>
      <x:c r="H22" s="259"/>
    </x:row>
    <x:row r="23">
      <x:c r="A23" s="259"/>
      <x:c r="B23" s="259"/>
      <x:c r="C23" s="259"/>
      <x:c r="D23" s="259"/>
      <x:c r="E23" s="259"/>
      <x:c r="F23" s="259"/>
      <x:c r="G23" s="259"/>
      <x:c r="H23" s="259"/>
    </x:row>
    <x:row r="24">
      <x:c r="A24" s="259"/>
      <x:c r="B24" s="259"/>
      <x:c r="C24" s="259"/>
      <x:c r="D24" s="259"/>
      <x:c r="E24" s="259"/>
      <x:c r="F24" s="259"/>
      <x:c r="G24" s="259"/>
      <x:c r="H24" s="259"/>
    </x:row>
    <x:row r="25">
      <x:c r="A25" s="259"/>
      <x:c r="B25" s="259"/>
      <x:c r="C25" s="259"/>
      <x:c r="D25" s="259"/>
      <x:c r="E25" s="259"/>
      <x:c r="F25" s="259"/>
      <x:c r="G25" s="259"/>
      <x:c r="H25" s="259"/>
    </x:row>
    <x:row r="26">
      <x:c r="A26" s="259"/>
      <x:c r="B26" s="259"/>
      <x:c r="C26" s="259"/>
      <x:c r="D26" s="259"/>
      <x:c r="E26" s="259"/>
      <x:c r="F26" s="259"/>
      <x:c r="G26" s="259"/>
      <x:c r="H26" s="259"/>
    </x:row>
    <x:row r="27">
      <x:c r="A27" s="259"/>
      <x:c r="B27" s="259"/>
      <x:c r="C27" s="259"/>
      <x:c r="D27" s="259"/>
      <x:c r="E27" s="259"/>
      <x:c r="F27" s="259"/>
      <x:c r="G27" s="259"/>
      <x:c r="H27" s="259"/>
    </x:row>
    <x:row r="28">
      <x:c r="A28" s="259"/>
      <x:c r="B28" s="259"/>
      <x:c r="C28" s="259"/>
      <x:c r="D28" s="259"/>
      <x:c r="E28" s="259"/>
      <x:c r="F28" s="259"/>
      <x:c r="G28" s="259"/>
      <x:c r="H28" s="259"/>
    </x:row>
    <x:row r="29">
      <x:c r="A29" s="259"/>
      <x:c r="B29" s="259"/>
      <x:c r="C29" s="259"/>
      <x:c r="D29" s="259"/>
      <x:c r="E29" s="259"/>
      <x:c r="F29" s="259"/>
      <x:c r="G29" s="259"/>
      <x:c r="H29" s="259"/>
    </x:row>
    <x:row r="30">
      <x:c r="A30" s="259"/>
      <x:c r="B30" s="259"/>
      <x:c r="C30" s="259"/>
      <x:c r="D30" s="259"/>
      <x:c r="E30" s="259"/>
      <x:c r="F30" s="259"/>
      <x:c r="G30" s="259"/>
      <x:c r="H30" s="259"/>
    </x:row>
    <x:row r="31">
      <x:c r="A31" s="259"/>
      <x:c r="B31" s="259"/>
      <x:c r="C31" s="259"/>
      <x:c r="D31" s="259"/>
      <x:c r="E31" s="259"/>
      <x:c r="F31" s="259"/>
      <x:c r="G31" s="259"/>
      <x:c r="H31" s="259"/>
    </x:row>
    <x:row r="32">
      <x:c r="A32" s="259"/>
      <x:c r="B32" s="259"/>
      <x:c r="C32" s="259"/>
      <x:c r="D32" s="259"/>
      <x:c r="E32" s="259"/>
      <x:c r="F32" s="259"/>
      <x:c r="G32" s="259"/>
      <x:c r="H32" s="259"/>
    </x:row>
    <x:row r="33">
      <x:c r="A33" s="259"/>
      <x:c r="B33" s="259"/>
      <x:c r="C33" s="259"/>
      <x:c r="D33" s="259"/>
      <x:c r="E33" s="259"/>
      <x:c r="F33" s="259"/>
      <x:c r="G33" s="259"/>
      <x:c r="H33" s="259"/>
    </x:row>
    <x:row r="34">
      <x:c r="A34" s="259"/>
      <x:c r="B34" s="259"/>
      <x:c r="C34" s="259"/>
      <x:c r="D34" s="259"/>
      <x:c r="E34" s="259"/>
      <x:c r="F34" s="259"/>
      <x:c r="G34" s="259"/>
      <x:c r="H34" s="259"/>
    </x:row>
    <x:row r="35">
      <x:c r="A35" s="259"/>
      <x:c r="B35" s="259"/>
      <x:c r="C35" s="259"/>
      <x:c r="D35" s="259"/>
      <x:c r="E35" s="259"/>
      <x:c r="F35" s="259"/>
      <x:c r="G35" s="259"/>
      <x:c r="H35" s="259"/>
    </x:row>
    <x:row r="36">
      <x:c r="A36" s="259"/>
      <x:c r="B36" s="259"/>
      <x:c r="C36" s="259"/>
      <x:c r="D36" s="259"/>
      <x:c r="E36" s="259"/>
      <x:c r="F36" s="259"/>
      <x:c r="G36" s="259"/>
      <x:c r="H36" s="259"/>
    </x:row>
    <x:row r="37" ht="26" customHeight="1">
      <x:c r="A37" s="279" t="str">
        <x:v>范围说明：本清单依据问题汇总生成，不能替代 URL 级诊断。404、robots、重定向与未收录问题必须先用 GSC 示例 URL 分批核对；不要把所有旧 URL 统一重定向到首页或 /products。代码落点依据本地仓库 E:\website\zxpapers-website-main 的 2026-07-17 快照。</x:v>
      </x:c>
      <x:c r="B37" s="280"/>
      <x:c r="C37" s="280"/>
      <x:c r="D37" s="280"/>
      <x:c r="E37" s="280"/>
      <x:c r="F37" s="280"/>
      <x:c r="G37" s="280"/>
      <x:c r="H37" s="281"/>
    </x:row>
    <x:row r="38" ht="26" customHeight="1">
      <x:c r="A38" s="282"/>
      <x:c r="B38" s="283"/>
      <x:c r="C38" s="283"/>
      <x:c r="D38" s="283"/>
      <x:c r="E38" s="283"/>
      <x:c r="F38" s="283"/>
      <x:c r="G38" s="283"/>
      <x:c r="H38" s="284"/>
    </x:row>
    <x:row r="39" ht="26" customHeight="1">
      <x:c r="A39" s="285"/>
      <x:c r="B39" s="286"/>
      <x:c r="C39" s="286"/>
      <x:c r="D39" s="286"/>
      <x:c r="E39" s="286"/>
      <x:c r="F39" s="286"/>
      <x:c r="G39" s="286"/>
      <x:c r="H39" s="287"/>
    </x:row>
  </x:sheetData>
  <x:mergeCells>
    <x:mergeCell ref="A1:H2"/>
    <x:mergeCell ref="A3:H3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F10:H10"/>
    <x:mergeCell ref="F11:H11"/>
    <x:mergeCell ref="F12:H12"/>
    <x:mergeCell ref="F13:H13"/>
    <x:mergeCell ref="F14:H14"/>
    <x:mergeCell ref="F15:H15"/>
    <x:mergeCell ref="A37:H39"/>
  </x:mergeCells>
  <x:pageMargins left="0.7" right="0.7" top="0.75" bottom="0.75" header="0.3" footer="0.3"/>
  <x:drawing xmlns:r="http://schemas.openxmlformats.org/officeDocument/2006/relationships" r:id="R0367c1f299a9477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2" hidden="0" customWidth="1"/>
    <x:col min="4" max="4" width="36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34" hidden="0" customWidth="1"/>
    <x:col min="10" max="10" width="58" hidden="0" customWidth="1"/>
    <x:col min="11" max="11" width="38" hidden="0" customWidth="1"/>
    <x:col min="12" max="12" width="48" hidden="0" customWidth="1"/>
    <x:col min="13" max="13" width="18" hidden="0" customWidth="1"/>
    <x:col min="14" max="14" width="16" hidden="0" customWidth="1"/>
    <x:col min="15" max="15" width="14" hidden="0" customWidth="1"/>
    <x:col min="16" max="16" width="36" hidden="0" customWidth="1"/>
    <x:col min="17" max="17" width="42" hidden="0" customWidth="1"/>
  </x:cols>
  <x:sheetData>
    <x:row r="1" ht="27" customHeight="1">
      <x:c r="A1" s="297" t="str">
        <x:v>Google 收录问题修复清单</x:v>
      </x:c>
      <x:c r="B1" s="297"/>
      <x:c r="C1" s="297"/>
      <x:c r="D1" s="297"/>
      <x:c r="E1" s="297"/>
      <x:c r="F1" s="297"/>
      <x:c r="G1" s="297"/>
      <x:c r="H1" s="297"/>
      <x:c r="I1" s="297"/>
      <x:c r="J1" s="297"/>
      <x:c r="K1" s="297"/>
      <x:c r="L1" s="297"/>
      <x:c r="M1" s="297"/>
      <x:c r="N1" s="297"/>
      <x:c r="O1" s="297"/>
      <x:c r="P1" s="297"/>
      <x:c r="Q1" s="297"/>
    </x:row>
    <x:row r="2" ht="27" customHeight="1">
      <x:c r="A2" s="297"/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  <x:c r="M2" s="297"/>
      <x:c r="N2" s="297"/>
      <x:c r="O2" s="297"/>
      <x:c r="P2" s="297"/>
      <x:c r="Q2" s="297"/>
    </x:row>
    <x:row r="3" ht="24" customHeight="1">
      <x:c r="A3" s="290" t="str">
        <x:v>先筛选“优先级”和“状态”。黄色字段为执行中可维护项；页面数与占比引用原始导出，更新源数据后会自动重算。</x:v>
      </x:c>
      <x:c r="B3" s="290"/>
      <x:c r="C3" s="290"/>
      <x:c r="D3" s="290"/>
      <x:c r="E3" s="290"/>
      <x:c r="F3" s="290"/>
      <x:c r="G3" s="290"/>
      <x:c r="H3" s="290"/>
      <x:c r="I3" s="290"/>
      <x:c r="J3" s="290"/>
      <x:c r="K3" s="290"/>
      <x:c r="L3" s="290"/>
      <x:c r="M3" s="290"/>
      <x:c r="N3" s="290"/>
      <x:c r="O3" s="290"/>
      <x:c r="P3" s="290"/>
      <x:c r="Q3" s="290"/>
    </x:row>
    <x:row r="4" ht="36" customHeight="1">
      <x:c r="A4" s="291" t="str">
        <x:v>ID</x:v>
      </x:c>
      <x:c r="B4" s="291" t="str">
        <x:v>优先级</x:v>
      </x:c>
      <x:c r="C4" s="291" t="str">
        <x:v>GSC类别</x:v>
      </x:c>
      <x:c r="D4" s="291" t="str">
        <x:v>问题类型</x:v>
      </x:c>
      <x:c r="E4" s="291" t="str">
        <x:v>受影响页</x:v>
      </x:c>
      <x:c r="F4" s="291" t="str">
        <x:v>占未收录</x:v>
      </x:c>
      <x:c r="G4" s="291" t="str">
        <x:v>原验证状态</x:v>
      </x:c>
      <x:c r="H4" s="291" t="str">
        <x:v>处理结论</x:v>
      </x:c>
      <x:c r="I4" s="291" t="str">
        <x:v>第一动作</x:v>
      </x:c>
      <x:c r="J4" s="291" t="str">
        <x:v>具体修复步骤</x:v>
      </x:c>
      <x:c r="K4" s="291" t="str">
        <x:v>代码/配置落点</x:v>
      </x:c>
      <x:c r="L4" s="291" t="str">
        <x:v>验收标准</x:v>
      </x:c>
      <x:c r="M4" s="291" t="str">
        <x:v>负责人</x:v>
      </x:c>
      <x:c r="N4" s="291" t="str">
        <x:v>状态</x:v>
      </x:c>
      <x:c r="O4" s="291" t="str">
        <x:v>计划完成</x:v>
      </x:c>
      <x:c r="P4" s="291" t="str">
        <x:v>GSC复验</x:v>
      </x:c>
      <x:c r="Q4" s="291" t="str">
        <x:v>风险/依赖</x:v>
      </x:c>
    </x:row>
    <x:row r="5" ht="96" customHeight="1">
      <x:c r="A5" s="292" t="str">
        <x:v>GSC-01</x:v>
      </x:c>
      <x:c r="B5" s="292" t="str">
        <x:v>P0</x:v>
      </x:c>
      <x:c r="C5" s="292" t="str">
        <x:v>严重问题</x:v>
      </x:c>
      <x:c r="D5" s="292" t="str">
        <x:v>服务器错误 (5xx)</x:v>
      </x:c>
      <x:c r="E5" s="293" t="n">
        <x:f>'源数据-严重问题'!D8</x:f>
        <x:v>26</x:v>
      </x:c>
      <x:c r="F5" s="294" t="n">
        <x:f>E5/'源数据-趋势'!$B$85</x:f>
        <x:v>0.004625511474826543</x:v>
      </x:c>
      <x:c r="G5" s="292" t="str">
        <x:v>失败</x:v>
      </x:c>
      <x:c r="H5" s="292" t="str">
        <x:v>必须修复</x:v>
      </x:c>
      <x:c r="I5" s="292" t="str">
        <x:v>导出 26 个示例 URL，按模板和时间聚类</x:v>
      </x:c>
      <x:c r="J5" s="292" t="str">
        <x:v>逐个复现；查部署日志、数据读取和动态路由异常；将响应修正为 200、单跳 301 或真实 404；禁止用 200 空页面掩盖错误</x:v>
      </x:c>
      <x:c r="K5" s="292" t="str">
        <x:v>src/app/**；src/middleware.ts；src/lib/postsStore.ts；部署日志</x:v>
      </x:c>
      <x:c r="L5" s="292" t="str">
        <x:v>抽样与全部已知 URL 不再返回 5xx；核心页面连续 48 小时无同类异常</x:v>
      </x:c>
      <x:c r="M5" s="295" t="str">
        <x:v>开发+运维</x:v>
      </x:c>
      <x:c r="N5" s="295" t="str">
        <x:v>待URL样本</x:v>
      </x:c>
      <x:c r="O5" s="296"/>
      <x:c r="P5" s="292" t="str">
        <x:v>完成修复部署后启动验证</x:v>
      </x:c>
      <x:c r="Q5" s="292" t="str">
        <x:v>需要线上日志与 URL 明细</x:v>
      </x:c>
    </x:row>
    <x:row r="6" ht="96" customHeight="1">
      <x:c r="A6" s="292" t="str">
        <x:v>GSC-02</x:v>
      </x:c>
      <x:c r="B6" s="292" t="str">
        <x:v>P0</x:v>
      </x:c>
      <x:c r="C6" s="292" t="str">
        <x:v>严重问题</x:v>
      </x:c>
      <x:c r="D6" s="292" t="str">
        <x:v>重定向错误</x:v>
      </x:c>
      <x:c r="E6" s="293" t="n">
        <x:f>'源数据-严重问题'!D9</x:f>
        <x:v>3</x:v>
      </x:c>
      <x:c r="F6" s="294" t="n">
        <x:f>E6/'源数据-趋势'!$B$85</x:f>
        <x:v>0.0005337128624799857</x:v>
      </x:c>
      <x:c r="G6" s="292" t="str">
        <x:v>已开始</x:v>
      </x:c>
      <x:c r="H6" s="292" t="str">
        <x:v>必须修复</x:v>
      </x:c>
      <x:c r="I6" s="292" t="str">
        <x:v>对 3 个 URL 画出完整跳转链</x:v>
      </x:c>
      <x:c r="J6" s="292" t="str">
        <x:v>消除循环、过长链、协议/主机来回跳转；终点必须一次跳转到 200；检查通配规则是否先于特定规则命中</x:v>
      </x:c>
      <x:c r="K6" s="292" t="str">
        <x:v>next.config.ts redirects()；CDN/Hostinger/Vercel 重定向配置</x:v>
      </x:c>
      <x:c r="L6" s="292" t="str">
        <x:v>每个 URL 最多 1 次永久跳转并到达可索引 200；无循环或无效 Location</x:v>
      </x:c>
      <x:c r="M6" s="295" t="str">
        <x:v>开发+运维</x:v>
      </x:c>
      <x:c r="N6" s="295" t="str">
        <x:v>待URL样本</x:v>
      </x:c>
      <x:c r="O6" s="296"/>
      <x:c r="P6" s="292" t="str">
        <x:v>部署后 URL 检查并重新验证</x:v>
      </x:c>
      <x:c r="Q6" s="292" t="str">
        <x:v>仓库中 /product/:slug* 位于 linerless 特定规则之前，需优先核对</x:v>
      </x:c>
    </x:row>
    <x:row r="7" ht="96" customHeight="1">
      <x:c r="A7" s="292" t="str">
        <x:v>GSC-03</x:v>
      </x:c>
      <x:c r="B7" s="292" t="str">
        <x:v>P0</x:v>
      </x:c>
      <x:c r="C7" s="292" t="str">
        <x:v>严重问题</x:v>
      </x:c>
      <x:c r="D7" s="292" t="str">
        <x:v>未找到 (404)</x:v>
      </x:c>
      <x:c r="E7" s="293" t="n">
        <x:f>'源数据-严重问题'!D6</x:f>
        <x:v>2412</x:v>
      </x:c>
      <x:c r="F7" s="294" t="n">
        <x:f>E7/'源数据-趋势'!$B$85</x:f>
        <x:v>0.42910514143390854</x:v>
      </x:c>
      <x:c r="G7" s="292" t="str">
        <x:v>已开始</x:v>
      </x:c>
      <x:c r="H7" s="292" t="str">
        <x:v>分流处理</x:v>
      </x:c>
      <x:c r="I7" s="292" t="str">
        <x:v>导出 2,412 个 URL，并标注来源：站点地图/内部链接/外链/历史 URL</x:v>
      </x:c>
      <x:c r="J7" s="292" t="str">
        <x:v>仍有价值且有明确替代页的 URL 做一对一 301；误删页面恢复；无价值旧 URL 保持 404/410；从站点地图和内部链接删除失效 URL；禁止全部跳首页</x:v>
      </x:c>
      <x:c r="K7" s="292" t="str">
        <x:v>src/app/sitemap.ts；src/config/navigation.ts；页面内 Link/href；next.config.ts</x:v>
      </x:c>
      <x:c r="L7" s="292" t="str">
        <x:v>站点地图与内部链接 0 个 404；重点外链旧 URL 单跳到语义匹配页面；其余返回真实 404/410</x:v>
      </x:c>
      <x:c r="M7" s="295" t="str">
        <x:v>SEO+开发</x:v>
      </x:c>
      <x:c r="N7" s="295" t="str">
        <x:v>待URL样本</x:v>
      </x:c>
      <x:c r="O7" s="296"/>
      <x:c r="P7" s="292" t="str">
        <x:v>先按来源分批，再对已修批次启动验证</x:v>
      </x:c>
      <x:c r="Q7" s="292" t="str">
        <x:v>数量最大；没有 URL 明细前不可批量重定向</x:v>
      </x:c>
    </x:row>
    <x:row r="8" ht="96" customHeight="1">
      <x:c r="A8" s="292" t="str">
        <x:v>GSC-04</x:v>
      </x:c>
      <x:c r="B8" s="292" t="str">
        <x:v>P0</x:v>
      </x:c>
      <x:c r="C8" s="292" t="str">
        <x:v>非严重问题</x:v>
      </x:c>
      <x:c r="D8" s="292" t="str">
        <x:v>已编入索引，尽管遭到 robots.txt 屏蔽</x:v>
      </x:c>
      <x:c r="E8" s="293" t="n">
        <x:f>'源数据-非严重问题'!D2</x:f>
        <x:v>15</x:v>
      </x:c>
      <x:c r="F8" s="294" t="str">
        <x:f>""</x:f>
      </x:c>
      <x:c r="G8" s="292" t="str">
        <x:v>失败</x:v>
      </x:c>
      <x:c r="H8" s="292" t="str">
        <x:v>解决指令冲突</x:v>
      </x:c>
      <x:c r="I8" s="292" t="str">
        <x:v>逐个决定应收录还是应排除</x:v>
      </x:c>
      <x:c r="J8" s="292" t="str">
        <x:v>应收录：解除 robots 屏蔽并保留自规范；应排除：允许抓取后返回 noindex，或使用鉴权/401/403，再从站点地图与内部链接移除</x:v>
      </x:c>
      <x:c r="K8" s="292" t="str">
        <x:v>public/robots.txt；src/app/admin/layout.tsx；src/middleware.ts；响应头</x:v>
      </x:c>
      <x:c r="L8" s="292" t="str">
        <x:v>15 个 URL 的抓取、索引和访问控制信号一致；不再出现已索引但 robots 屏蔽</x:v>
      </x:c>
      <x:c r="M8" s="295" t="str">
        <x:v>SEO+开发</x:v>
      </x:c>
      <x:c r="N8" s="295" t="str">
        <x:v>待URL样本</x:v>
      </x:c>
      <x:c r="O8" s="296"/>
      <x:c r="P8" s="292" t="str">
        <x:v>修改后先 URL 检查，再验证</x:v>
      </x:c>
      <x:c r="Q8" s="292" t="str">
        <x:v>robots 会阻止 Google 读取 noindex；私有内容优先鉴权而非仅 robots</x:v>
      </x:c>
    </x:row>
    <x:row r="9" ht="96" customHeight="1">
      <x:c r="A9" s="292" t="str">
        <x:v>GSC-05</x:v>
      </x:c>
      <x:c r="B9" s="292" t="str">
        <x:v>P1</x:v>
      </x:c>
      <x:c r="C9" s="292" t="str">
        <x:v>严重问题</x:v>
      </x:c>
      <x:c r="D9" s="292" t="str">
        <x:v>已抓取 - 尚未编入索引</x:v>
      </x:c>
      <x:c r="E9" s="293" t="n">
        <x:f>'源数据-严重问题'!D4</x:f>
        <x:v>1752</x:v>
      </x:c>
      <x:c r="F9" s="294" t="n">
        <x:f>E9/'源数据-趋势'!$B$85</x:f>
        <x:v>0.3116883116883117</x:v>
      </x:c>
      <x:c r="G9" s="292" t="str">
        <x:v>失败</x:v>
      </x:c>
      <x:c r="H9" s="292" t="str">
        <x:v>按模板治理</x:v>
      </x:c>
      <x:c r="I9" s="292" t="str">
        <x:v>导出 1,752 个 URL，按产品/地区/博客/参数/旧语言路径聚类</x:v>
      </x:c>
      <x:c r="J9" s="292" t="str">
        <x:v>核对 200、canonical、可索引性和渲染内容；保留有独立搜索意图的页面并补独特规格、采购信息与内部链接；重复或薄弱页合并、noindex 或移出站点地图</x:v>
      </x:c>
      <x:c r="K9" s="292" t="str">
        <x:v>src/app/products/**；src/app/markets/**；src/app/blog/**；src/app/sitemap.ts；src/config/navigation.ts</x:v>
      </x:c>
      <x:c r="L9" s="292" t="str">
        <x:v>每个保留模板抽样 5-10 页具备自规范、唯一标题/H1、独特正文与 2 个以上相关内链；无价值页不再提交索引</x:v>
      </x:c>
      <x:c r="M9" s="295" t="str">
        <x:v>SEO/内容</x:v>
      </x:c>
      <x:c r="N9" s="295" t="str">
        <x:v>待URL样本</x:v>
      </x:c>
      <x:c r="O9" s="296"/>
      <x:c r="P9" s="292" t="str">
        <x:v>每个模板单独提交验证，观察 2-4 周</x:v>
      </x:c>
      <x:c r="Q9" s="292" t="str">
        <x:v>不能靠“请求编入索引”解决批量低价值或重复内容</x:v>
      </x:c>
    </x:row>
    <x:row r="10" ht="96" customHeight="1">
      <x:c r="A10" s="292" t="str">
        <x:v>GSC-06</x:v>
      </x:c>
      <x:c r="B10" s="292" t="str">
        <x:v>P1</x:v>
      </x:c>
      <x:c r="C10" s="292" t="str">
        <x:v>严重问题</x:v>
      </x:c>
      <x:c r="D10" s="292" t="str">
        <x:v>已被 robots.txt 屏蔽</x:v>
      </x:c>
      <x:c r="E10" s="293" t="n">
        <x:f>'源数据-严重问题'!D7</x:f>
        <x:v>418</x:v>
      </x:c>
      <x:c r="F10" s="294" t="n">
        <x:f>E10/'源数据-趋势'!$B$85</x:f>
        <x:v>0.07436399217221135</x:v>
      </x:c>
      <x:c r="G10" s="292" t="str">
        <x:v>已开始</x:v>
      </x:c>
      <x:c r="H10" s="292" t="str">
        <x:v>核对是否预期</x:v>
      </x:c>
      <x:c r="I10" s="292" t="str">
        <x:v>按目录统计 418 个 URL 命中了哪条 robots 规则</x:v>
      </x:c>
      <x:c r="J10" s="292" t="str">
        <x:v>公开且应收录的页面解除屏蔽；私有/低价值 URL 从站点地图和内链移除，并采用 noindex、鉴权或正确状态码；检查参数 URL 与 WordPress 遗留路径</x:v>
      </x:c>
      <x:c r="K10" s="292" t="str">
        <x:v>public/robots.txt；src/app/sitemap.ts；src/config/navigation.ts</x:v>
      </x:c>
      <x:c r="L10" s="292" t="str">
        <x:v>应收录 URL 可抓取；不应收录 URL 不在站点地图/内链中且使用一致的排除方式</x:v>
      </x:c>
      <x:c r="M10" s="295" t="str">
        <x:v>SEO+开发</x:v>
      </x:c>
      <x:c r="N10" s="295" t="str">
        <x:v>待URL样本</x:v>
      </x:c>
      <x:c r="O10" s="296"/>
      <x:c r="P10" s="292" t="str">
        <x:v>规则调整后抽样 URL 检查并验证</x:v>
      </x:c>
      <x:c r="Q10" s="292" t="str">
        <x:v>robots 注释称旧 URL 应可抓取，但实际仍屏蔽 /wp-admin/ 与 /wp-login.php，需按真实目标统一</x:v>
      </x:c>
    </x:row>
    <x:row r="11" ht="96" customHeight="1">
      <x:c r="A11" s="292" t="str">
        <x:v>GSC-07</x:v>
      </x:c>
      <x:c r="B11" s="292" t="str">
        <x:v>P1</x:v>
      </x:c>
      <x:c r="C11" s="292" t="str">
        <x:v>严重问题</x:v>
      </x:c>
      <x:c r="D11" s="292" t="str">
        <x:v>网页会自动重定向</x:v>
      </x:c>
      <x:c r="E11" s="293" t="n">
        <x:f>'源数据-严重问题'!D2</x:f>
        <x:v>950</x:v>
      </x:c>
      <x:c r="F11" s="294" t="n">
        <x:f>E11/'源数据-趋势'!$B$85</x:f>
        <x:v>0.16900907311866217</x:v>
      </x:c>
      <x:c r="G11" s="292" t="str">
        <x:v>失败</x:v>
      </x:c>
      <x:c r="H11" s="292" t="str">
        <x:v>清理发现来源</x:v>
      </x:c>
      <x:c r="I11" s="292" t="str">
        <x:v>导出 950 个 URL，区分预期历史迁移与错误内链</x:v>
      </x:c>
      <x:c r="J11" s="292" t="str">
        <x:v>保留必要的一对一永久重定向；把站点地图、导航、正文链接、图片管理页中的旧地址改为最终规范 URL；消除链式跳转</x:v>
      </x:c>
      <x:c r="K11" s="292" t="str">
        <x:v>next.config.ts；src/app/sitemap.ts；src/config/navigation.ts；src/config/imageSlots.ts；页面内 Link/href</x:v>
      </x:c>
      <x:c r="L11" s="292" t="str">
        <x:v>站点地图仅含最终 200 URL；内部链接直接指向终点；所有保留重定向为单跳</x:v>
      </x:c>
      <x:c r="M11" s="295" t="str">
        <x:v>SEO+开发</x:v>
      </x:c>
      <x:c r="N11" s="295" t="str">
        <x:v>待URL样本</x:v>
      </x:c>
      <x:c r="O11" s="296"/>
      <x:c r="P11" s="292" t="str">
        <x:v>清理发现来源后启动验证</x:v>
      </x:c>
      <x:c r="Q11" s="292" t="str">
        <x:v>重定向本身通常不是错误；重点是避免继续提交和内部发现旧 URL</x:v>
      </x:c>
    </x:row>
    <x:row r="12" ht="96" customHeight="1">
      <x:c r="A12" s="292" t="str">
        <x:v>GSC-08</x:v>
      </x:c>
      <x:c r="B12" s="292" t="str">
        <x:v>P1</x:v>
      </x:c>
      <x:c r="C12" s="292" t="str">
        <x:v>严重问题</x:v>
      </x:c>
      <x:c r="D12" s="292" t="str">
        <x:v>重复网页，用户未选定规范网页</x:v>
      </x:c>
      <x:c r="E12" s="293" t="n">
        <x:f>'源数据-严重问题'!D5</x:f>
        <x:v>13</x:v>
      </x:c>
      <x:c r="F12" s="294" t="n">
        <x:f>E12/'源数据-趋势'!$B$85</x:f>
        <x:v>0.0023127557374132716</x:v>
      </x:c>
      <x:c r="G12" s="292" t="str">
        <x:v>未启动</x:v>
      </x:c>
      <x:c r="H12" s="292" t="str">
        <x:v>统一规范信号</x:v>
      </x:c>
      <x:c r="I12" s="292" t="str">
        <x:v>对 13 组 URL 比较正文、参数、主机和尾斜杠差异</x:v>
      </x:c>
      <x:c r="J12" s="292" t="str">
        <x:v>选择唯一主 URL；首选页加自规范；替代页能跳转则 301；所有内链和站点地图只指向主 URL；参数页必要时 noindex</x:v>
      </x:c>
      <x:c r="K12" s="292" t="str">
        <x:v>src/lib/seo.ts；各 page.tsx metadata；next.config.ts；src/app/sitemap.ts</x:v>
      </x:c>
      <x:c r="L12" s="292" t="str">
        <x:v>每组只有 1 个可索引主 URL；canonical、站点地图、内链和重定向一致</x:v>
      </x:c>
      <x:c r="M12" s="295" t="str">
        <x:v>SEO+开发</x:v>
      </x:c>
      <x:c r="N12" s="295" t="str">
        <x:v>待URL样本</x:v>
      </x:c>
      <x:c r="O12" s="296"/>
      <x:c r="P12" s="292" t="str">
        <x:v>URL 检查确认用户规范与 Google 规范一致后验证</x:v>
      </x:c>
      <x:c r="Q12" s="292" t="str">
        <x:v>需要 URL 对照组，不能仅凭问题名称猜主 URL</x:v>
      </x:c>
    </x:row>
    <x:row r="13" ht="96" customHeight="1">
      <x:c r="A13" s="292" t="str">
        <x:v>GSC-09</x:v>
      </x:c>
      <x:c r="B13" s="292" t="str">
        <x:v>P1</x:v>
      </x:c>
      <x:c r="C13" s="292" t="str">
        <x:v>严重问题</x:v>
      </x:c>
      <x:c r="D13" s="292" t="str">
        <x:v>重复网页，Google 选择的规范网页与用户指定的不同</x:v>
      </x:c>
      <x:c r="E13" s="293" t="n">
        <x:f>'源数据-严重问题'!D14</x:f>
        <x:v>4</x:v>
      </x:c>
      <x:c r="F13" s="294" t="n">
        <x:f>E13/'源数据-趋势'!$B$85</x:f>
        <x:v>0.0007116171499733144</x:v>
      </x:c>
      <x:c r="G13" s="292" t="str">
        <x:v>已通过</x:v>
      </x:c>
      <x:c r="H13" s="292" t="str">
        <x:v>复核并保持</x:v>
      </x:c>
      <x:c r="I13" s="292" t="str">
        <x:v>导出 4 组 URL，对比用户规范与 Google 规范</x:v>
      </x:c>
      <x:c r="J13" s="292" t="str">
        <x:v>若 Google 选择更合理则统一声明；若用户规范正确，则强化 301、内部链接、站点地图和内容唯一性，移除冲突信号</x:v>
      </x:c>
      <x:c r="K13" s="292" t="str">
        <x:v>src/lib/seo.ts；各 page.tsx metadata；next.config.ts；src/app/sitemap.ts</x:v>
      </x:c>
      <x:c r="L13" s="292" t="str">
        <x:v>Google 选择的规范 URL 与站点声明一致；重复页不再接收相互冲突信号</x:v>
      </x:c>
      <x:c r="M13" s="295" t="str">
        <x:v>SEO+开发</x:v>
      </x:c>
      <x:c r="N13" s="295" t="str">
        <x:v>仅监控</x:v>
      </x:c>
      <x:c r="O13" s="296"/>
      <x:c r="P13" s="292" t="str">
        <x:v>下次覆盖报告复查，无回归再关闭</x:v>
      </x:c>
      <x:c r="Q13" s="292" t="str">
        <x:v>当前验证已通过，避免无必要改动</x:v>
      </x:c>
    </x:row>
    <x:row r="14" ht="96" customHeight="1">
      <x:c r="A14" s="292" t="str">
        <x:v>GSC-10</x:v>
      </x:c>
      <x:c r="B14" s="292" t="str">
        <x:v>P1</x:v>
      </x:c>
      <x:c r="C14" s="292" t="str">
        <x:v>严重问题</x:v>
      </x:c>
      <x:c r="D14" s="292" t="str">
        <x:v>软 404</x:v>
      </x:c>
      <x:c r="E14" s="293" t="n">
        <x:f>'源数据-严重问题'!D11</x:f>
        <x:v>1</x:v>
      </x:c>
      <x:c r="F14" s="294" t="n">
        <x:f>E14/'源数据-趋势'!$B$85</x:f>
        <x:v>0.0001779042874933286</x:v>
      </x:c>
      <x:c r="G14" s="292" t="str">
        <x:v>已通过</x:v>
      </x:c>
      <x:c r="H14" s="292" t="str">
        <x:v>确认真实意图</x:v>
      </x:c>
      <x:c r="I14" s="292" t="str">
        <x:v>检查该 URL 是否内容过少、空列表或错误返回 200</x:v>
      </x:c>
      <x:c r="J14" s="292" t="str">
        <x:v>有搜索价值则补完整内容与明确主标题；不存在则通过 notFound() 返回 404；不要用空模板或跳首页冒充有效页</x:v>
      </x:c>
      <x:c r="K14" s="292" t="str">
        <x:v>src/app/**/page.tsx；src/app/not-found.tsx</x:v>
      </x:c>
      <x:c r="L14" s="292" t="str">
        <x:v>有效页返回有实质内容的 200；无效页返回真实 404；结构化数据与可见内容一致</x:v>
      </x:c>
      <x:c r="M14" s="295" t="str">
        <x:v>开发+SEO/内容</x:v>
      </x:c>
      <x:c r="N14" s="295" t="str">
        <x:v>仅监控</x:v>
      </x:c>
      <x:c r="O14" s="296"/>
      <x:c r="P14" s="292" t="str">
        <x:v>下次覆盖报告复查</x:v>
      </x:c>
      <x:c r="Q14" s="292" t="str">
        <x:v>当前验证已通过，先确认是否仍存在</x:v>
      </x:c>
    </x:row>
    <x:row r="15" ht="96" customHeight="1">
      <x:c r="A15" s="292" t="str">
        <x:v>GSC-11</x:v>
      </x:c>
      <x:c r="B15" s="292" t="str">
        <x:v>P2</x:v>
      </x:c>
      <x:c r="C15" s="292" t="str">
        <x:v>严重问题</x:v>
      </x:c>
      <x:c r="D15" s="292" t="str">
        <x:v>已发现 - 尚未编入索引</x:v>
      </x:c>
      <x:c r="E15" s="293" t="n">
        <x:f>'源数据-严重问题'!D13</x:f>
        <x:v>27</x:v>
      </x:c>
      <x:c r="F15" s="294" t="n">
        <x:f>E15/'源数据-趋势'!$B$85</x:f>
        <x:v>0.004803415762319872</x:v>
      </x:c>
      <x:c r="G15" s="292" t="str">
        <x:v>已通过</x:v>
      </x:c>
      <x:c r="H15" s="292" t="str">
        <x:v>观察与增强发现</x:v>
      </x:c>
      <x:c r="I15" s="292" t="str">
        <x:v>核对 27 个 URL 是否仍在站点地图且有内部入口</x:v>
      </x:c>
      <x:c r="J15" s="292" t="str">
        <x:v>对高价值页增加上下文内链、准确 lastmod 和独特内容；低价值页移出站点地图；只对少量关键页请求索引</x:v>
      </x:c>
      <x:c r="K15" s="292" t="str">
        <x:v>src/app/sitemap.ts；src/config/navigation.ts；相关分类/详情页</x:v>
      </x:c>
      <x:c r="L15" s="292" t="str">
        <x:v>高价值 URL 可从至少一个索引页点击到达；站点地图 lastmod 与真实更新一致</x:v>
      </x:c>
      <x:c r="M15" s="295" t="str">
        <x:v>SEO/内容</x:v>
      </x:c>
      <x:c r="N15" s="295" t="str">
        <x:v>仅监控</x:v>
      </x:c>
      <x:c r="O15" s="296"/>
      <x:c r="P15" s="292" t="str">
        <x:v>下次覆盖报告复查</x:v>
      </x:c>
      <x:c r="Q15" s="292" t="str">
        <x:v>src/app/sitemap.ts 的 STATIC_LAST_MOD 仍为 2026-06-06，后续更新应保持真实</x:v>
      </x:c>
    </x:row>
    <x:row r="16" ht="96" customHeight="1">
      <x:c r="A16" s="292" t="str">
        <x:v>GSC-12</x:v>
      </x:c>
      <x:c r="B16" s="292" t="str">
        <x:v>P2</x:v>
      </x:c>
      <x:c r="C16" s="292" t="str">
        <x:v>严重问题</x:v>
      </x:c>
      <x:c r="D16" s="292" t="str">
        <x:v>备用网页（有适当的规范标记）</x:v>
      </x:c>
      <x:c r="E16" s="293" t="n">
        <x:f>'源数据-严重问题'!D3</x:f>
        <x:v>11</x:v>
      </x:c>
      <x:c r="F16" s="294" t="n">
        <x:f>E16/'源数据-趋势'!$B$85</x:f>
        <x:v>0.0019569471624266144</x:v>
      </x:c>
      <x:c r="G16" s="292" t="str">
        <x:v>失败</x:v>
      </x:c>
      <x:c r="H16" s="292" t="str">
        <x:v>通常无需修正文</x:v>
      </x:c>
      <x:c r="I16" s="292" t="str">
        <x:v>确认 11 个替代 URL 的规范目标可索引且内容等价</x:v>
      </x:c>
      <x:c r="J16" s="292" t="str">
        <x:v>若规范目标正确，仅从站点地图和内部链接移除替代 URL；若替代 URL 不应存在且可安全合并，使用一对一 301</x:v>
      </x:c>
      <x:c r="K16" s="292" t="str">
        <x:v>src/app/sitemap.ts；页面 metadata canonical；页面内 Link/href；next.config.ts</x:v>
      </x:c>
      <x:c r="L16" s="292" t="str">
        <x:v>替代 URL 不在站点地图；内部链接只指向规范 URL；规范目标为 200 且已收录</x:v>
      </x:c>
      <x:c r="M16" s="295" t="str">
        <x:v>SEO+开发</x:v>
      </x:c>
      <x:c r="N16" s="295" t="str">
        <x:v>待URL样本</x:v>
      </x:c>
      <x:c r="O16" s="296"/>
      <x:c r="P16" s="292" t="str">
        <x:v>清理发现来源后重新验证</x:v>
      </x:c>
      <x:c r="Q16" s="292" t="str">
        <x:v>验证失败不等于 canonical 配置错误，先检查目标页状态</x:v>
      </x:c>
    </x:row>
    <x:row r="17" ht="96" customHeight="1">
      <x:c r="A17" s="292" t="str">
        <x:v>GSC-13</x:v>
      </x:c>
      <x:c r="B17" s="292" t="str">
        <x:v>P2</x:v>
      </x:c>
      <x:c r="C17" s="292" t="str">
        <x:v>严重问题</x:v>
      </x:c>
      <x:c r="D17" s="292" t="str">
        <x:v>被“noindex”标记排除了</x:v>
      </x:c>
      <x:c r="E17" s="293" t="n">
        <x:f>'源数据-严重问题'!D10</x:f>
        <x:v>4</x:v>
      </x:c>
      <x:c r="F17" s="294" t="n">
        <x:f>E17/'源数据-趋势'!$B$85</x:f>
        <x:v>0.0007116171499733144</x:v>
      </x:c>
      <x:c r="G17" s="292" t="str">
        <x:v>已通过</x:v>
      </x:c>
      <x:c r="H17" s="292" t="str">
        <x:v>确认是否预期</x:v>
      </x:c>
      <x:c r="I17" s="292" t="str">
        <x:v>检查 4 个 URL 的业务用途和站点地图状态</x:v>
      </x:c>
      <x:c r="J17" s="292" t="str">
        <x:v>预期排除：保留 noindex 并从站点地图/内链移除；应收录：去掉 noindex，加入自规范和内链后再提交</x:v>
      </x:c>
      <x:c r="K17" s="292" t="str">
        <x:v>src/lib/seo.ts；各 page.tsx metadata robots；src/app/sitemap.ts</x:v>
      </x:c>
      <x:c r="L17" s="292" t="str">
        <x:v>每个 URL 的 noindex、站点地图和内链信号一致；无误排除的商业页面</x:v>
      </x:c>
      <x:c r="M17" s="295" t="str">
        <x:v>SEO+开发</x:v>
      </x:c>
      <x:c r="N17" s="295" t="str">
        <x:v>仅监控</x:v>
      </x:c>
      <x:c r="O17" s="296"/>
      <x:c r="P17" s="292" t="str">
        <x:v>下次覆盖报告复查</x:v>
      </x:c>
      <x:c r="Q17" s="292" t="str">
        <x:v>当前验证已通过，先确认业务意图</x:v>
      </x:c>
    </x:row>
    <x:row r="18" ht="96" customHeight="1">
      <x:c r="A18" s="292" t="str">
        <x:v>GSC-14</x:v>
      </x:c>
      <x:c r="B18" s="292" t="str">
        <x:v>P3</x:v>
      </x:c>
      <x:c r="C18" s="292" t="str">
        <x:v>严重问题</x:v>
      </x:c>
      <x:c r="D18" s="292" t="str">
        <x:v>由于禁止访问 (403) 而被屏蔽了</x:v>
      </x:c>
      <x:c r="E18" s="293" t="n">
        <x:f>'源数据-严重问题'!D12</x:f>
        <x:v>0</x:v>
      </x:c>
      <x:c r="F18" s="294" t="n">
        <x:f>E18/'源数据-趋势'!$B$85</x:f>
        <x:v>0</x:v>
      </x:c>
      <x:c r="G18" s="292" t="str">
        <x:v>已通过</x:v>
      </x:c>
      <x:c r="H18" s="292" t="str">
        <x:v>关闭并监控</x:v>
      </x:c>
      <x:c r="I18" s="292" t="str">
        <x:v>确认计数持续为 0</x:v>
      </x:c>
      <x:c r="J18" s="292" t="str">
        <x:v>无需改动；若回归，区分正常鉴权资源与误拦截的公开页面</x:v>
      </x:c>
      <x:c r="K18" s="292" t="str">
        <x:v>src/middleware.ts；CDN/WAF/Hostinger/Vercel 访问控制</x:v>
      </x:c>
      <x:c r="L18" s="292" t="str">
        <x:v>后续报告继续为 0；公开页面无意外 403</x:v>
      </x:c>
      <x:c r="M18" s="295" t="str">
        <x:v>运维</x:v>
      </x:c>
      <x:c r="N18" s="295" t="str">
        <x:v>仅监控</x:v>
      </x:c>
      <x:c r="O18" s="296"/>
      <x:c r="P18" s="292" t="str">
        <x:v>仅在回归时启动验证</x:v>
      </x:c>
      <x:c r="Q18" s="292" t="str">
        <x:v>当前无受影响页面</x:v>
      </x:c>
    </x:row>
  </x:sheetData>
  <x:mergeCells>
    <x:mergeCell ref="A1:Q2"/>
    <x:mergeCell ref="A3:Q3"/>
  </x:mergeCells>
  <x:conditionalFormatting sqref="B5:B18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  <x:cfRule type="containsText" dxfId="3" priority="4" operator="containsText" text="P3"/>
  </x:conditionalFormatting>
  <x:conditionalFormatting sqref="N5:N18">
    <x:cfRule type="containsText" dxfId="4" priority="5" operator="containsText" text="已完成"/>
    <x:cfRule type="containsText" dxfId="5" priority="6" operator="containsText" text="待URL样本"/>
    <x:cfRule type="containsText" dxfId="6" priority="7" operator="containsText" text="处理中"/>
  </x:conditionalFormatting>
  <x:dataValidations count="3">
    <x:dataValidation type="list" sqref="B5:B18">
      <x:formula1>"P0,P1,P2,P3"</x:formula1>
    </x:dataValidation>
    <x:dataValidation type="list" sqref="M5:M18">
      <x:formula1>"开发,运维,SEO/内容,SEO+开发,开发+运维,开发+SEO/内容,待分配"</x:formula1>
    </x:dataValidation>
    <x:dataValidation type="list" sqref="N5:N18">
      <x:formula1>"待URL样本,未开始,处理中,待部署,待GSC复验,已完成,仅监控"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f53d00c53044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2" hidden="0" customWidth="1"/>
  </x:cols>
  <x:sheetData>
    <x:row r="1">
      <x:c r="A1" s="136" t="str">
        <x:v>日期</x:v>
      </x:c>
      <x:c r="B1" s="137" t="str">
        <x:v>未编入索引</x:v>
      </x:c>
      <x:c r="C1" s="137" t="str">
        <x:v>已编入索引</x:v>
      </x:c>
      <x:c r="D1" s="138" t="str">
        <x:v>展示</x:v>
      </x:c>
    </x:row>
    <x:row r="2">
      <x:c r="A2" s="217" t="str">
        <x:v>2026-04-18</x:v>
      </x:c>
      <x:c r="B2" s="229" t="str">
        <x:v>5</x:v>
      </x:c>
      <x:c r="C2" s="229" t="str">
        <x:v>5</x:v>
      </x:c>
      <x:c r="D2" s="230" t="n">
        <x:v>132</x:v>
      </x:c>
    </x:row>
    <x:row r="3">
      <x:c r="A3" s="217" t="str">
        <x:v>2026-04-19</x:v>
      </x:c>
      <x:c r="B3" s="229" t="str">
        <x:v>5</x:v>
      </x:c>
      <x:c r="C3" s="229" t="str">
        <x:v>5</x:v>
      </x:c>
      <x:c r="D3" s="230" t="n">
        <x:v>147</x:v>
      </x:c>
    </x:row>
    <x:row r="4">
      <x:c r="A4" s="217" t="str">
        <x:v>2026-04-20</x:v>
      </x:c>
      <x:c r="B4" s="229" t="n">
        <x:v>5613</x:v>
      </x:c>
      <x:c r="C4" s="229" t="n">
        <x:v>2602</x:v>
      </x:c>
      <x:c r="D4" s="230" t="n">
        <x:v>172</x:v>
      </x:c>
    </x:row>
    <x:row r="5">
      <x:c r="A5" s="217" t="str">
        <x:v>2026-04-21</x:v>
      </x:c>
      <x:c r="B5" s="229" t="n">
        <x:v>5842</x:v>
      </x:c>
      <x:c r="C5" s="229" t="n">
        <x:v>2386</x:v>
      </x:c>
      <x:c r="D5" s="230" t="n">
        <x:v>172</x:v>
      </x:c>
    </x:row>
    <x:row r="6">
      <x:c r="A6" s="217" t="str">
        <x:v>2026-04-22</x:v>
      </x:c>
      <x:c r="B6" s="229" t="n">
        <x:v>5842</x:v>
      </x:c>
      <x:c r="C6" s="229" t="n">
        <x:v>2386</x:v>
      </x:c>
      <x:c r="D6" s="230" t="n">
        <x:v>150</x:v>
      </x:c>
    </x:row>
    <x:row r="7">
      <x:c r="A7" s="217" t="str">
        <x:v>2026-04-23</x:v>
      </x:c>
      <x:c r="B7" s="229" t="n">
        <x:v>5842</x:v>
      </x:c>
      <x:c r="C7" s="229" t="n">
        <x:v>2386</x:v>
      </x:c>
      <x:c r="D7" s="230" t="n">
        <x:v>123</x:v>
      </x:c>
    </x:row>
    <x:row r="8">
      <x:c r="A8" s="217" t="str">
        <x:v>2026-04-24</x:v>
      </x:c>
      <x:c r="B8" s="229" t="n">
        <x:v>5842</x:v>
      </x:c>
      <x:c r="C8" s="229" t="n">
        <x:v>2386</x:v>
      </x:c>
      <x:c r="D8" s="230" t="n">
        <x:v>98</x:v>
      </x:c>
    </x:row>
    <x:row r="9">
      <x:c r="A9" s="217" t="str">
        <x:v>2026-04-25</x:v>
      </x:c>
      <x:c r="B9" s="229" t="n">
        <x:v>6066</x:v>
      </x:c>
      <x:c r="C9" s="229" t="n">
        <x:v>2157</x:v>
      </x:c>
      <x:c r="D9" s="230" t="n">
        <x:v>80</x:v>
      </x:c>
    </x:row>
    <x:row r="10">
      <x:c r="A10" s="217" t="str">
        <x:v>2026-04-26</x:v>
      </x:c>
      <x:c r="B10" s="229" t="n">
        <x:v>6066</x:v>
      </x:c>
      <x:c r="C10" s="229" t="n">
        <x:v>2157</x:v>
      </x:c>
      <x:c r="D10" s="230" t="n">
        <x:v>63</x:v>
      </x:c>
    </x:row>
    <x:row r="11">
      <x:c r="A11" s="217" t="str">
        <x:v>2026-04-27</x:v>
      </x:c>
      <x:c r="B11" s="229" t="n">
        <x:v>6066</x:v>
      </x:c>
      <x:c r="C11" s="229" t="n">
        <x:v>2157</x:v>
      </x:c>
      <x:c r="D11" s="230" t="n">
        <x:v>109</x:v>
      </x:c>
    </x:row>
    <x:row r="12">
      <x:c r="A12" s="217" t="str">
        <x:v>2026-04-28</x:v>
      </x:c>
      <x:c r="B12" s="229" t="n">
        <x:v>6342</x:v>
      </x:c>
      <x:c r="C12" s="229" t="n">
        <x:v>1866</x:v>
      </x:c>
      <x:c r="D12" s="230" t="n">
        <x:v>89</x:v>
      </x:c>
    </x:row>
    <x:row r="13">
      <x:c r="A13" s="217" t="str">
        <x:v>2026-04-29</x:v>
      </x:c>
      <x:c r="B13" s="229" t="n">
        <x:v>6342</x:v>
      </x:c>
      <x:c r="C13" s="229" t="n">
        <x:v>1866</x:v>
      </x:c>
      <x:c r="D13" s="230" t="n">
        <x:v>73</x:v>
      </x:c>
    </x:row>
    <x:row r="14">
      <x:c r="A14" s="217" t="str">
        <x:v>2026-04-30</x:v>
      </x:c>
      <x:c r="B14" s="229" t="n">
        <x:v>6342</x:v>
      </x:c>
      <x:c r="C14" s="229" t="n">
        <x:v>1866</x:v>
      </x:c>
      <x:c r="D14" s="230" t="n">
        <x:v>96</x:v>
      </x:c>
    </x:row>
    <x:row r="15">
      <x:c r="A15" s="217" t="str">
        <x:v>2026-05-01</x:v>
      </x:c>
      <x:c r="B15" s="229" t="n">
        <x:v>6342</x:v>
      </x:c>
      <x:c r="C15" s="229" t="n">
        <x:v>1866</x:v>
      </x:c>
      <x:c r="D15" s="230" t="n">
        <x:v>74</x:v>
      </x:c>
    </x:row>
    <x:row r="16">
      <x:c r="A16" s="217" t="str">
        <x:v>2026-05-02</x:v>
      </x:c>
      <x:c r="B16" s="229" t="n">
        <x:v>6596</x:v>
      </x:c>
      <x:c r="C16" s="229" t="n">
        <x:v>1601</x:v>
      </x:c>
      <x:c r="D16" s="230" t="n">
        <x:v>51</x:v>
      </x:c>
    </x:row>
    <x:row r="17">
      <x:c r="A17" s="217" t="str">
        <x:v>2026-05-03</x:v>
      </x:c>
      <x:c r="B17" s="229" t="n">
        <x:v>6596</x:v>
      </x:c>
      <x:c r="C17" s="229" t="n">
        <x:v>1601</x:v>
      </x:c>
      <x:c r="D17" s="230" t="n">
        <x:v>70</x:v>
      </x:c>
    </x:row>
    <x:row r="18">
      <x:c r="A18" s="217" t="str">
        <x:v>2026-05-04</x:v>
      </x:c>
      <x:c r="B18" s="229" t="n">
        <x:v>6596</x:v>
      </x:c>
      <x:c r="C18" s="229" t="n">
        <x:v>1601</x:v>
      </x:c>
      <x:c r="D18" s="230" t="n">
        <x:v>89</x:v>
      </x:c>
    </x:row>
    <x:row r="19">
      <x:c r="A19" s="217" t="str">
        <x:v>2026-05-05</x:v>
      </x:c>
      <x:c r="B19" s="229" t="n">
        <x:v>6771</x:v>
      </x:c>
      <x:c r="C19" s="229" t="n">
        <x:v>1388</x:v>
      </x:c>
      <x:c r="D19" s="230" t="n">
        <x:v>89</x:v>
      </x:c>
    </x:row>
    <x:row r="20">
      <x:c r="A20" s="217" t="str">
        <x:v>2026-05-06</x:v>
      </x:c>
      <x:c r="B20" s="229" t="n">
        <x:v>6771</x:v>
      </x:c>
      <x:c r="C20" s="229" t="n">
        <x:v>1388</x:v>
      </x:c>
      <x:c r="D20" s="230" t="n">
        <x:v>84</x:v>
      </x:c>
    </x:row>
    <x:row r="21">
      <x:c r="A21" s="217" t="str">
        <x:v>2026-05-07</x:v>
      </x:c>
      <x:c r="B21" s="229" t="n">
        <x:v>6771</x:v>
      </x:c>
      <x:c r="C21" s="229" t="n">
        <x:v>1388</x:v>
      </x:c>
      <x:c r="D21" s="230" t="n">
        <x:v>76</x:v>
      </x:c>
    </x:row>
    <x:row r="22">
      <x:c r="A22" s="217" t="str">
        <x:v>2026-05-08</x:v>
      </x:c>
      <x:c r="B22" s="229" t="n">
        <x:v>6771</x:v>
      </x:c>
      <x:c r="C22" s="229" t="n">
        <x:v>1388</x:v>
      </x:c>
      <x:c r="D22" s="230" t="n">
        <x:v>75</x:v>
      </x:c>
    </x:row>
    <x:row r="23">
      <x:c r="A23" s="217" t="str">
        <x:v>2026-05-09</x:v>
      </x:c>
      <x:c r="B23" s="229" t="n">
        <x:v>6792</x:v>
      </x:c>
      <x:c r="C23" s="229" t="n">
        <x:v>1295</x:v>
      </x:c>
      <x:c r="D23" s="230" t="n">
        <x:v>49</x:v>
      </x:c>
    </x:row>
    <x:row r="24">
      <x:c r="A24" s="217" t="str">
        <x:v>2026-05-10</x:v>
      </x:c>
      <x:c r="B24" s="229" t="n">
        <x:v>6792</x:v>
      </x:c>
      <x:c r="C24" s="229" t="n">
        <x:v>1295</x:v>
      </x:c>
      <x:c r="D24" s="230" t="n">
        <x:v>54</x:v>
      </x:c>
    </x:row>
    <x:row r="25">
      <x:c r="A25" s="217" t="str">
        <x:v>2026-05-11</x:v>
      </x:c>
      <x:c r="B25" s="229" t="n">
        <x:v>6792</x:v>
      </x:c>
      <x:c r="C25" s="229" t="n">
        <x:v>1295</x:v>
      </x:c>
      <x:c r="D25" s="230" t="n">
        <x:v>63</x:v>
      </x:c>
    </x:row>
    <x:row r="26">
      <x:c r="A26" s="217" t="str">
        <x:v>2026-05-12</x:v>
      </x:c>
      <x:c r="B26" s="229" t="n">
        <x:v>6914</x:v>
      </x:c>
      <x:c r="C26" s="229" t="n">
        <x:v>1139</x:v>
      </x:c>
      <x:c r="D26" s="230" t="n">
        <x:v>117</x:v>
      </x:c>
    </x:row>
    <x:row r="27">
      <x:c r="A27" s="217" t="str">
        <x:v>2026-05-13</x:v>
      </x:c>
      <x:c r="B27" s="229" t="n">
        <x:v>6914</x:v>
      </x:c>
      <x:c r="C27" s="229" t="n">
        <x:v>1139</x:v>
      </x:c>
      <x:c r="D27" s="230" t="n">
        <x:v>54</x:v>
      </x:c>
    </x:row>
    <x:row r="28">
      <x:c r="A28" s="217" t="str">
        <x:v>2026-05-14</x:v>
      </x:c>
      <x:c r="B28" s="229" t="n">
        <x:v>6914</x:v>
      </x:c>
      <x:c r="C28" s="229" t="n">
        <x:v>1139</x:v>
      </x:c>
      <x:c r="D28" s="230" t="n">
        <x:v>58</x:v>
      </x:c>
    </x:row>
    <x:row r="29">
      <x:c r="A29" s="217" t="str">
        <x:v>2026-05-15</x:v>
      </x:c>
      <x:c r="B29" s="229" t="n">
        <x:v>6914</x:v>
      </x:c>
      <x:c r="C29" s="229" t="n">
        <x:v>1139</x:v>
      </x:c>
      <x:c r="D29" s="230" t="n">
        <x:v>59</x:v>
      </x:c>
    </x:row>
    <x:row r="30">
      <x:c r="A30" s="217" t="str">
        <x:v>2026-05-16</x:v>
      </x:c>
      <x:c r="B30" s="229" t="n">
        <x:v>6977</x:v>
      </x:c>
      <x:c r="C30" s="229" t="n">
        <x:v>1065</x:v>
      </x:c>
      <x:c r="D30" s="230" t="n">
        <x:v>54</x:v>
      </x:c>
    </x:row>
    <x:row r="31">
      <x:c r="A31" s="217" t="str">
        <x:v>2026-05-17</x:v>
      </x:c>
      <x:c r="B31" s="229" t="n">
        <x:v>6977</x:v>
      </x:c>
      <x:c r="C31" s="229" t="n">
        <x:v>1065</x:v>
      </x:c>
      <x:c r="D31" s="230" t="n">
        <x:v>99</x:v>
      </x:c>
    </x:row>
    <x:row r="32">
      <x:c r="A32" s="217" t="str">
        <x:v>2026-05-18</x:v>
      </x:c>
      <x:c r="B32" s="229" t="n">
        <x:v>6977</x:v>
      </x:c>
      <x:c r="C32" s="229" t="n">
        <x:v>1065</x:v>
      </x:c>
      <x:c r="D32" s="230" t="n">
        <x:v>94</x:v>
      </x:c>
    </x:row>
    <x:row r="33">
      <x:c r="A33" s="217" t="str">
        <x:v>2026-05-19</x:v>
      </x:c>
      <x:c r="B33" s="229" t="n">
        <x:v>6990</x:v>
      </x:c>
      <x:c r="C33" s="229" t="n">
        <x:v>1029</x:v>
      </x:c>
      <x:c r="D33" s="230" t="n">
        <x:v>65</x:v>
      </x:c>
    </x:row>
    <x:row r="34">
      <x:c r="A34" s="217" t="str">
        <x:v>2026-05-20</x:v>
      </x:c>
      <x:c r="B34" s="229" t="n">
        <x:v>6990</x:v>
      </x:c>
      <x:c r="C34" s="229" t="n">
        <x:v>1029</x:v>
      </x:c>
      <x:c r="D34" s="230" t="n">
        <x:v>78</x:v>
      </x:c>
    </x:row>
    <x:row r="35">
      <x:c r="A35" s="217" t="str">
        <x:v>2026-05-21</x:v>
      </x:c>
      <x:c r="B35" s="229" t="n">
        <x:v>6990</x:v>
      </x:c>
      <x:c r="C35" s="229" t="n">
        <x:v>1029</x:v>
      </x:c>
      <x:c r="D35" s="230" t="n">
        <x:v>50</x:v>
      </x:c>
    </x:row>
    <x:row r="36">
      <x:c r="A36" s="217" t="str">
        <x:v>2026-05-22</x:v>
      </x:c>
      <x:c r="B36" s="229" t="n">
        <x:v>6990</x:v>
      </x:c>
      <x:c r="C36" s="229" t="n">
        <x:v>1029</x:v>
      </x:c>
      <x:c r="D36" s="230" t="n">
        <x:v>59</x:v>
      </x:c>
    </x:row>
    <x:row r="37">
      <x:c r="A37" s="217" t="str">
        <x:v>2026-05-23</x:v>
      </x:c>
      <x:c r="B37" s="229" t="n">
        <x:v>6856</x:v>
      </x:c>
      <x:c r="C37" s="229" t="n">
        <x:v>1000</x:v>
      </x:c>
      <x:c r="D37" s="230" t="n">
        <x:v>51</x:v>
      </x:c>
    </x:row>
    <x:row r="38">
      <x:c r="A38" s="217" t="str">
        <x:v>2026-05-24</x:v>
      </x:c>
      <x:c r="B38" s="229" t="n">
        <x:v>6856</x:v>
      </x:c>
      <x:c r="C38" s="229" t="n">
        <x:v>1000</x:v>
      </x:c>
      <x:c r="D38" s="230" t="n">
        <x:v>65</x:v>
      </x:c>
    </x:row>
    <x:row r="39">
      <x:c r="A39" s="217" t="str">
        <x:v>2026-05-25</x:v>
      </x:c>
      <x:c r="B39" s="229" t="n">
        <x:v>6856</x:v>
      </x:c>
      <x:c r="C39" s="229" t="n">
        <x:v>1000</x:v>
      </x:c>
      <x:c r="D39" s="230" t="n">
        <x:v>47</x:v>
      </x:c>
    </x:row>
    <x:row r="40">
      <x:c r="A40" s="217" t="str">
        <x:v>2026-05-26</x:v>
      </x:c>
      <x:c r="B40" s="229" t="n">
        <x:v>6866</x:v>
      </x:c>
      <x:c r="C40" s="229" t="n">
        <x:v>839</x:v>
      </x:c>
      <x:c r="D40" s="230" t="n">
        <x:v>60</x:v>
      </x:c>
    </x:row>
    <x:row r="41">
      <x:c r="A41" s="217" t="str">
        <x:v>2026-05-27</x:v>
      </x:c>
      <x:c r="B41" s="229" t="n">
        <x:v>6866</x:v>
      </x:c>
      <x:c r="C41" s="229" t="n">
        <x:v>839</x:v>
      </x:c>
      <x:c r="D41" s="230" t="n">
        <x:v>44</x:v>
      </x:c>
    </x:row>
    <x:row r="42">
      <x:c r="A42" s="217" t="str">
        <x:v>2026-05-28</x:v>
      </x:c>
      <x:c r="B42" s="229" t="n">
        <x:v>6866</x:v>
      </x:c>
      <x:c r="C42" s="229" t="n">
        <x:v>839</x:v>
      </x:c>
      <x:c r="D42" s="230" t="n">
        <x:v>74</x:v>
      </x:c>
    </x:row>
    <x:row r="43">
      <x:c r="A43" s="217" t="str">
        <x:v>2026-05-29</x:v>
      </x:c>
      <x:c r="B43" s="229" t="n">
        <x:v>6866</x:v>
      </x:c>
      <x:c r="C43" s="229" t="n">
        <x:v>839</x:v>
      </x:c>
      <x:c r="D43" s="230" t="n">
        <x:v>48</x:v>
      </x:c>
    </x:row>
    <x:row r="44">
      <x:c r="A44" s="217" t="str">
        <x:v>2026-05-30</x:v>
      </x:c>
      <x:c r="B44" s="229" t="n">
        <x:v>6888</x:v>
      </x:c>
      <x:c r="C44" s="229" t="n">
        <x:v>685</x:v>
      </x:c>
      <x:c r="D44" s="230" t="n">
        <x:v>33</x:v>
      </x:c>
    </x:row>
    <x:row r="45">
      <x:c r="A45" s="217" t="str">
        <x:v>2026-05-31</x:v>
      </x:c>
      <x:c r="B45" s="229" t="n">
        <x:v>6888</x:v>
      </x:c>
      <x:c r="C45" s="229" t="n">
        <x:v>685</x:v>
      </x:c>
      <x:c r="D45" s="230" t="n">
        <x:v>60</x:v>
      </x:c>
    </x:row>
    <x:row r="46">
      <x:c r="A46" s="217" t="str">
        <x:v>2026-06-01</x:v>
      </x:c>
      <x:c r="B46" s="229" t="n">
        <x:v>6888</x:v>
      </x:c>
      <x:c r="C46" s="229" t="n">
        <x:v>685</x:v>
      </x:c>
      <x:c r="D46" s="230" t="n">
        <x:v>33</x:v>
      </x:c>
    </x:row>
    <x:row r="47">
      <x:c r="A47" s="217" t="str">
        <x:v>2026-06-02</x:v>
      </x:c>
      <x:c r="B47" s="229" t="n">
        <x:v>6865</x:v>
      </x:c>
      <x:c r="C47" s="229" t="n">
        <x:v>591</x:v>
      </x:c>
      <x:c r="D47" s="230" t="n">
        <x:v>51</x:v>
      </x:c>
    </x:row>
    <x:row r="48">
      <x:c r="A48" s="217" t="str">
        <x:v>2026-06-03</x:v>
      </x:c>
      <x:c r="B48" s="229" t="n">
        <x:v>6865</x:v>
      </x:c>
      <x:c r="C48" s="229" t="n">
        <x:v>591</x:v>
      </x:c>
      <x:c r="D48" s="230" t="n">
        <x:v>73</x:v>
      </x:c>
    </x:row>
    <x:row r="49">
      <x:c r="A49" s="217" t="str">
        <x:v>2026-06-04</x:v>
      </x:c>
      <x:c r="B49" s="229" t="n">
        <x:v>6865</x:v>
      </x:c>
      <x:c r="C49" s="229" t="n">
        <x:v>591</x:v>
      </x:c>
      <x:c r="D49" s="230" t="n">
        <x:v>66</x:v>
      </x:c>
    </x:row>
    <x:row r="50">
      <x:c r="A50" s="217" t="str">
        <x:v>2026-06-05</x:v>
      </x:c>
      <x:c r="B50" s="229" t="n">
        <x:v>6865</x:v>
      </x:c>
      <x:c r="C50" s="229" t="n">
        <x:v>591</x:v>
      </x:c>
      <x:c r="D50" s="230" t="n">
        <x:v>31</x:v>
      </x:c>
    </x:row>
    <x:row r="51">
      <x:c r="A51" s="217" t="str">
        <x:v>2026-06-06</x:v>
      </x:c>
      <x:c r="B51" s="229" t="n">
        <x:v>6859</x:v>
      </x:c>
      <x:c r="C51" s="229" t="n">
        <x:v>569</x:v>
      </x:c>
      <x:c r="D51" s="230" t="n">
        <x:v>46</x:v>
      </x:c>
    </x:row>
    <x:row r="52">
      <x:c r="A52" s="217" t="str">
        <x:v>2026-06-07</x:v>
      </x:c>
      <x:c r="B52" s="229" t="n">
        <x:v>6859</x:v>
      </x:c>
      <x:c r="C52" s="229" t="n">
        <x:v>569</x:v>
      </x:c>
      <x:c r="D52" s="230" t="n">
        <x:v>41</x:v>
      </x:c>
    </x:row>
    <x:row r="53">
      <x:c r="A53" s="217" t="str">
        <x:v>2026-06-08</x:v>
      </x:c>
      <x:c r="B53" s="229" t="n">
        <x:v>6859</x:v>
      </x:c>
      <x:c r="C53" s="229" t="n">
        <x:v>569</x:v>
      </x:c>
      <x:c r="D53" s="230" t="n">
        <x:v>39</x:v>
      </x:c>
    </x:row>
    <x:row r="54">
      <x:c r="A54" s="217" t="str">
        <x:v>2026-06-09</x:v>
      </x:c>
      <x:c r="B54" s="229" t="n">
        <x:v>6856</x:v>
      </x:c>
      <x:c r="C54" s="229" t="n">
        <x:v>550</x:v>
      </x:c>
      <x:c r="D54" s="230" t="n">
        <x:v>67</x:v>
      </x:c>
    </x:row>
    <x:row r="55">
      <x:c r="A55" s="217" t="str">
        <x:v>2026-06-10</x:v>
      </x:c>
      <x:c r="B55" s="229" t="n">
        <x:v>6856</x:v>
      </x:c>
      <x:c r="C55" s="229" t="n">
        <x:v>550</x:v>
      </x:c>
      <x:c r="D55" s="230" t="n">
        <x:v>105</x:v>
      </x:c>
    </x:row>
    <x:row r="56">
      <x:c r="A56" s="217" t="str">
        <x:v>2026-06-11</x:v>
      </x:c>
      <x:c r="B56" s="229" t="n">
        <x:v>6856</x:v>
      </x:c>
      <x:c r="C56" s="229" t="n">
        <x:v>550</x:v>
      </x:c>
      <x:c r="D56" s="230" t="n">
        <x:v>60</x:v>
      </x:c>
    </x:row>
    <x:row r="57">
      <x:c r="A57" s="217" t="str">
        <x:v>2026-06-12</x:v>
      </x:c>
      <x:c r="B57" s="229" t="n">
        <x:v>6856</x:v>
      </x:c>
      <x:c r="C57" s="229" t="n">
        <x:v>550</x:v>
      </x:c>
      <x:c r="D57" s="230" t="n">
        <x:v>61</x:v>
      </x:c>
    </x:row>
    <x:row r="58">
      <x:c r="A58" s="217" t="str">
        <x:v>2026-06-13</x:v>
      </x:c>
      <x:c r="B58" s="229" t="n">
        <x:v>6286</x:v>
      </x:c>
      <x:c r="C58" s="229" t="n">
        <x:v>364</x:v>
      </x:c>
      <x:c r="D58" s="230" t="n">
        <x:v>69</x:v>
      </x:c>
    </x:row>
    <x:row r="59">
      <x:c r="A59" s="217" t="str">
        <x:v>2026-06-14</x:v>
      </x:c>
      <x:c r="B59" s="229" t="n">
        <x:v>6286</x:v>
      </x:c>
      <x:c r="C59" s="229" t="n">
        <x:v>364</x:v>
      </x:c>
      <x:c r="D59" s="230" t="n">
        <x:v>60</x:v>
      </x:c>
    </x:row>
    <x:row r="60">
      <x:c r="A60" s="217" t="str">
        <x:v>2026-06-15</x:v>
      </x:c>
      <x:c r="B60" s="229" t="n">
        <x:v>6286</x:v>
      </x:c>
      <x:c r="C60" s="229" t="n">
        <x:v>364</x:v>
      </x:c>
      <x:c r="D60" s="230" t="n">
        <x:v>80</x:v>
      </x:c>
    </x:row>
    <x:row r="61">
      <x:c r="A61" s="217" t="str">
        <x:v>2026-06-16</x:v>
      </x:c>
      <x:c r="B61" s="229" t="n">
        <x:v>6286</x:v>
      </x:c>
      <x:c r="C61" s="229" t="n">
        <x:v>364</x:v>
      </x:c>
      <x:c r="D61" s="230" t="n">
        <x:v>85</x:v>
      </x:c>
    </x:row>
    <x:row r="62">
      <x:c r="A62" s="217" t="str">
        <x:v>2026-06-17</x:v>
      </x:c>
      <x:c r="B62" s="229" t="n">
        <x:v>6286</x:v>
      </x:c>
      <x:c r="C62" s="229" t="n">
        <x:v>364</x:v>
      </x:c>
      <x:c r="D62" s="230" t="n">
        <x:v>87</x:v>
      </x:c>
    </x:row>
    <x:row r="63">
      <x:c r="A63" s="217" t="str">
        <x:v>2026-06-18</x:v>
      </x:c>
      <x:c r="B63" s="229" t="n">
        <x:v>6286</x:v>
      </x:c>
      <x:c r="C63" s="229" t="n">
        <x:v>364</x:v>
      </x:c>
      <x:c r="D63" s="230" t="n">
        <x:v>77</x:v>
      </x:c>
    </x:row>
    <x:row r="64">
      <x:c r="A64" s="217" t="str">
        <x:v>2026-06-19</x:v>
      </x:c>
      <x:c r="B64" s="229" t="n">
        <x:v>6286</x:v>
      </x:c>
      <x:c r="C64" s="229" t="n">
        <x:v>364</x:v>
      </x:c>
      <x:c r="D64" s="230" t="n">
        <x:v>62</x:v>
      </x:c>
    </x:row>
    <x:row r="65">
      <x:c r="A65" s="217" t="str">
        <x:v>2026-06-20</x:v>
      </x:c>
      <x:c r="B65" s="229" t="n">
        <x:v>6286</x:v>
      </x:c>
      <x:c r="C65" s="229" t="n">
        <x:v>364</x:v>
      </x:c>
      <x:c r="D65" s="230" t="n">
        <x:v>37</x:v>
      </x:c>
    </x:row>
    <x:row r="66">
      <x:c r="A66" s="217" t="str">
        <x:v>2026-06-21</x:v>
      </x:c>
      <x:c r="B66" s="229" t="n">
        <x:v>6286</x:v>
      </x:c>
      <x:c r="C66" s="229" t="n">
        <x:v>364</x:v>
      </x:c>
      <x:c r="D66" s="230" t="n">
        <x:v>42</x:v>
      </x:c>
    </x:row>
    <x:row r="67">
      <x:c r="A67" s="217" t="str">
        <x:v>2026-06-22</x:v>
      </x:c>
      <x:c r="B67" s="229" t="n">
        <x:v>6286</x:v>
      </x:c>
      <x:c r="C67" s="229" t="n">
        <x:v>364</x:v>
      </x:c>
      <x:c r="D67" s="230" t="n">
        <x:v>55</x:v>
      </x:c>
    </x:row>
    <x:row r="68">
      <x:c r="A68" s="217" t="str">
        <x:v>2026-06-23</x:v>
      </x:c>
      <x:c r="B68" s="229" t="n">
        <x:v>6286</x:v>
      </x:c>
      <x:c r="C68" s="229" t="n">
        <x:v>364</x:v>
      </x:c>
      <x:c r="D68" s="230" t="n">
        <x:v>71</x:v>
      </x:c>
    </x:row>
    <x:row r="69">
      <x:c r="A69" s="217" t="str">
        <x:v>2026-06-24</x:v>
      </x:c>
      <x:c r="B69" s="229" t="n">
        <x:v>6286</x:v>
      </x:c>
      <x:c r="C69" s="229" t="n">
        <x:v>364</x:v>
      </x:c>
      <x:c r="D69" s="230" t="n">
        <x:v>54</x:v>
      </x:c>
    </x:row>
    <x:row r="70">
      <x:c r="A70" s="217" t="str">
        <x:v>2026-06-25</x:v>
      </x:c>
      <x:c r="B70" s="229" t="n">
        <x:v>6286</x:v>
      </x:c>
      <x:c r="C70" s="229" t="n">
        <x:v>364</x:v>
      </x:c>
      <x:c r="D70" s="230" t="n">
        <x:v>77</x:v>
      </x:c>
    </x:row>
    <x:row r="71">
      <x:c r="A71" s="217" t="str">
        <x:v>2026-06-26</x:v>
      </x:c>
      <x:c r="B71" s="229" t="n">
        <x:v>6286</x:v>
      </x:c>
      <x:c r="C71" s="229" t="n">
        <x:v>364</x:v>
      </x:c>
      <x:c r="D71" s="230" t="n">
        <x:v>88</x:v>
      </x:c>
    </x:row>
    <x:row r="72">
      <x:c r="A72" s="217" t="str">
        <x:v>2026-06-27</x:v>
      </x:c>
      <x:c r="B72" s="229" t="n">
        <x:v>6286</x:v>
      </x:c>
      <x:c r="C72" s="229" t="n">
        <x:v>364</x:v>
      </x:c>
      <x:c r="D72" s="230" t="n">
        <x:v>28</x:v>
      </x:c>
    </x:row>
    <x:row r="73">
      <x:c r="A73" s="217" t="str">
        <x:v>2026-06-28</x:v>
      </x:c>
      <x:c r="B73" s="229" t="n">
        <x:v>6286</x:v>
      </x:c>
      <x:c r="C73" s="229" t="n">
        <x:v>364</x:v>
      </x:c>
      <x:c r="D73" s="230" t="n">
        <x:v>68</x:v>
      </x:c>
    </x:row>
    <x:row r="74">
      <x:c r="A74" s="217" t="str">
        <x:v>2026-06-29</x:v>
      </x:c>
      <x:c r="B74" s="229" t="n">
        <x:v>6286</x:v>
      </x:c>
      <x:c r="C74" s="229" t="n">
        <x:v>364</x:v>
      </x:c>
      <x:c r="D74" s="230" t="n">
        <x:v>109</x:v>
      </x:c>
    </x:row>
    <x:row r="75">
      <x:c r="A75" s="217" t="str">
        <x:v>2026-06-30</x:v>
      </x:c>
      <x:c r="B75" s="229" t="n">
        <x:v>6286</x:v>
      </x:c>
      <x:c r="C75" s="229" t="n">
        <x:v>364</x:v>
      </x:c>
      <x:c r="D75" s="230" t="n">
        <x:v>52</x:v>
      </x:c>
    </x:row>
    <x:row r="76">
      <x:c r="A76" s="217" t="str">
        <x:v>2026-07-01</x:v>
      </x:c>
      <x:c r="B76" s="229" t="n">
        <x:v>5621</x:v>
      </x:c>
      <x:c r="C76" s="229" t="n">
        <x:v>236</x:v>
      </x:c>
      <x:c r="D76" s="230" t="n">
        <x:v>57</x:v>
      </x:c>
    </x:row>
    <x:row r="77">
      <x:c r="A77" s="217" t="str">
        <x:v>2026-07-02</x:v>
      </x:c>
      <x:c r="B77" s="229" t="n">
        <x:v>5621</x:v>
      </x:c>
      <x:c r="C77" s="229" t="n">
        <x:v>236</x:v>
      </x:c>
      <x:c r="D77" s="230" t="n">
        <x:v>57</x:v>
      </x:c>
    </x:row>
    <x:row r="78">
      <x:c r="A78" s="217" t="str">
        <x:v>2026-07-03</x:v>
      </x:c>
      <x:c r="B78" s="229" t="n">
        <x:v>5621</x:v>
      </x:c>
      <x:c r="C78" s="229" t="n">
        <x:v>236</x:v>
      </x:c>
      <x:c r="D78" s="230" t="n">
        <x:v>27</x:v>
      </x:c>
    </x:row>
    <x:row r="79">
      <x:c r="A79" s="217" t="str">
        <x:v>2026-07-04</x:v>
      </x:c>
      <x:c r="B79" s="229" t="n">
        <x:v>5621</x:v>
      </x:c>
      <x:c r="C79" s="229" t="n">
        <x:v>236</x:v>
      </x:c>
      <x:c r="D79" s="230" t="n">
        <x:v>42</x:v>
      </x:c>
    </x:row>
    <x:row r="80">
      <x:c r="A80" s="217" t="str">
        <x:v>2026-07-05</x:v>
      </x:c>
      <x:c r="B80" s="229" t="n">
        <x:v>5621</x:v>
      </x:c>
      <x:c r="C80" s="229" t="n">
        <x:v>236</x:v>
      </x:c>
      <x:c r="D80" s="230" t="n">
        <x:v>24</x:v>
      </x:c>
    </x:row>
    <x:row r="81">
      <x:c r="A81" s="217" t="str">
        <x:v>2026-07-06</x:v>
      </x:c>
      <x:c r="B81" s="229" t="n">
        <x:v>5621</x:v>
      </x:c>
      <x:c r="C81" s="229" t="n">
        <x:v>236</x:v>
      </x:c>
      <x:c r="D81" s="230" t="n">
        <x:v>46</x:v>
      </x:c>
    </x:row>
    <x:row r="82">
      <x:c r="A82" s="217" t="str">
        <x:v>2026-07-07</x:v>
      </x:c>
      <x:c r="B82" s="229" t="n">
        <x:v>5621</x:v>
      </x:c>
      <x:c r="C82" s="229" t="n">
        <x:v>236</x:v>
      </x:c>
      <x:c r="D82" s="230" t="n">
        <x:v>53</x:v>
      </x:c>
    </x:row>
    <x:row r="83">
      <x:c r="A83" s="217" t="str">
        <x:v>2026-07-08</x:v>
      </x:c>
      <x:c r="B83" s="229" t="n">
        <x:v>5621</x:v>
      </x:c>
      <x:c r="C83" s="229" t="n">
        <x:v>236</x:v>
      </x:c>
      <x:c r="D83" s="230" t="n">
        <x:v>52</x:v>
      </x:c>
    </x:row>
    <x:row r="84">
      <x:c r="A84" s="217" t="str">
        <x:v>2026-07-09</x:v>
      </x:c>
      <x:c r="B84" s="229" t="n">
        <x:v>5621</x:v>
      </x:c>
      <x:c r="C84" s="229" t="n">
        <x:v>236</x:v>
      </x:c>
      <x:c r="D84" s="230" t="n">
        <x:v>38</x:v>
      </x:c>
    </x:row>
    <x:row r="85">
      <x:c r="A85" s="220" t="str">
        <x:v>2026-07-10</x:v>
      </x:c>
      <x:c r="B85" s="231" t="n">
        <x:v>5621</x:v>
      </x:c>
      <x:c r="C85" s="231" t="n">
        <x:v>236</x:v>
      </x:c>
      <x:c r="D85" s="232" t="n">
        <x:v>46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4" hidden="0" customWidth="1"/>
    <x:col min="4" max="4" width="12" hidden="0" customWidth="1"/>
  </x:cols>
  <x:sheetData>
    <x:row r="1">
      <x:c r="A1" s="136" t="str">
        <x:v>原因</x:v>
      </x:c>
      <x:c r="B1" s="137" t="str">
        <x:v>来源</x:v>
      </x:c>
      <x:c r="C1" s="137" t="str">
        <x:v>验证</x:v>
      </x:c>
      <x:c r="D1" s="138" t="str">
        <x:v>网页</x:v>
      </x:c>
    </x:row>
    <x:row r="2">
      <x:c r="A2" s="217" t="str">
        <x:v>网页会自动重定向</x:v>
      </x:c>
      <x:c r="B2" s="218" t="str">
        <x:v>网站</x:v>
      </x:c>
      <x:c r="C2" s="218" t="str">
        <x:v>失败</x:v>
      </x:c>
      <x:c r="D2" s="230" t="n">
        <x:v>950</x:v>
      </x:c>
    </x:row>
    <x:row r="3">
      <x:c r="A3" s="217" t="str">
        <x:v>备用网页（有适当的规范标记）</x:v>
      </x:c>
      <x:c r="B3" s="218" t="str">
        <x:v>网站</x:v>
      </x:c>
      <x:c r="C3" s="218" t="str">
        <x:v>失败</x:v>
      </x:c>
      <x:c r="D3" s="230" t="n">
        <x:v>11</x:v>
      </x:c>
    </x:row>
    <x:row r="4">
      <x:c r="A4" s="217" t="str">
        <x:v>已抓取 - 尚未编入索引</x:v>
      </x:c>
      <x:c r="B4" s="218" t="str">
        <x:v>Google 系统</x:v>
      </x:c>
      <x:c r="C4" s="218" t="str">
        <x:v>失败</x:v>
      </x:c>
      <x:c r="D4" s="230" t="n">
        <x:v>1752</x:v>
      </x:c>
    </x:row>
    <x:row r="5">
      <x:c r="A5" s="217" t="str">
        <x:v>重复网页，用户未选定规范网页</x:v>
      </x:c>
      <x:c r="B5" s="218" t="str">
        <x:v>网站</x:v>
      </x:c>
      <x:c r="C5" s="218" t="str">
        <x:v>未启动</x:v>
      </x:c>
      <x:c r="D5" s="230" t="n">
        <x:v>13</x:v>
      </x:c>
    </x:row>
    <x:row r="6">
      <x:c r="A6" s="217" t="str">
        <x:v>未找到 (404)</x:v>
      </x:c>
      <x:c r="B6" s="218" t="str">
        <x:v>网站</x:v>
      </x:c>
      <x:c r="C6" s="218" t="str">
        <x:v>已开始</x:v>
      </x:c>
      <x:c r="D6" s="230" t="n">
        <x:v>2412</x:v>
      </x:c>
    </x:row>
    <x:row r="7">
      <x:c r="A7" s="217" t="str">
        <x:v>已被 robots.txt 屏蔽</x:v>
      </x:c>
      <x:c r="B7" s="218" t="str">
        <x:v>网站</x:v>
      </x:c>
      <x:c r="C7" s="218" t="str">
        <x:v>已开始</x:v>
      </x:c>
      <x:c r="D7" s="230" t="n">
        <x:v>418</x:v>
      </x:c>
    </x:row>
    <x:row r="8">
      <x:c r="A8" s="217" t="str">
        <x:v>服务器错误 (5xx)</x:v>
      </x:c>
      <x:c r="B8" s="218" t="str">
        <x:v>网站</x:v>
      </x:c>
      <x:c r="C8" s="218" t="str">
        <x:v>已开始</x:v>
      </x:c>
      <x:c r="D8" s="230" t="n">
        <x:v>26</x:v>
      </x:c>
    </x:row>
    <x:row r="9">
      <x:c r="A9" s="217" t="str">
        <x:v>重定向错误</x:v>
      </x:c>
      <x:c r="B9" s="218" t="str">
        <x:v>网站</x:v>
      </x:c>
      <x:c r="C9" s="218" t="str">
        <x:v>已开始</x:v>
      </x:c>
      <x:c r="D9" s="230" t="n">
        <x:v>3</x:v>
      </x:c>
    </x:row>
    <x:row r="10">
      <x:c r="A10" s="217" t="str">
        <x:v>被“noindex”标记排除了</x:v>
      </x:c>
      <x:c r="B10" s="218" t="str">
        <x:v>网站</x:v>
      </x:c>
      <x:c r="C10" s="218" t="str">
        <x:v>已通过</x:v>
      </x:c>
      <x:c r="D10" s="230" t="n">
        <x:v>4</x:v>
      </x:c>
    </x:row>
    <x:row r="11">
      <x:c r="A11" s="217" t="str">
        <x:v>软 404</x:v>
      </x:c>
      <x:c r="B11" s="218" t="str">
        <x:v>网站</x:v>
      </x:c>
      <x:c r="C11" s="218" t="str">
        <x:v>已通过</x:v>
      </x:c>
      <x:c r="D11" s="230" t="n">
        <x:v>1</x:v>
      </x:c>
    </x:row>
    <x:row r="12">
      <x:c r="A12" s="217" t="str">
        <x:v>由于禁止访问 (403) 而被屏蔽了</x:v>
      </x:c>
      <x:c r="B12" s="218" t="str">
        <x:v>网站</x:v>
      </x:c>
      <x:c r="C12" s="218" t="str">
        <x:v>已通过</x:v>
      </x:c>
      <x:c r="D12" s="230" t="n">
        <x:v>0</x:v>
      </x:c>
    </x:row>
    <x:row r="13">
      <x:c r="A13" s="217" t="str">
        <x:v>已发现 - 尚未编入索引</x:v>
      </x:c>
      <x:c r="B13" s="218" t="str">
        <x:v>Google 系统</x:v>
      </x:c>
      <x:c r="C13" s="218" t="str">
        <x:v>已通过</x:v>
      </x:c>
      <x:c r="D13" s="230" t="n">
        <x:v>27</x:v>
      </x:c>
    </x:row>
    <x:row r="14">
      <x:c r="A14" s="220" t="str">
        <x:v>重复网页，Google 选择的规范网页与用户指定的不同</x:v>
      </x:c>
      <x:c r="B14" s="221" t="str">
        <x:v>Google 系统</x:v>
      </x:c>
      <x:c r="C14" s="221" t="str">
        <x:v>已通过</x:v>
      </x:c>
      <x:c r="D14" s="232" t="n"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4" hidden="0" customWidth="1"/>
    <x:col min="4" max="4" width="12" hidden="0" customWidth="1"/>
  </x:cols>
  <x:sheetData>
    <x:row r="1">
      <x:c r="A1" s="136" t="str">
        <x:v>原因</x:v>
      </x:c>
      <x:c r="B1" s="137" t="str">
        <x:v>来源</x:v>
      </x:c>
      <x:c r="C1" s="137" t="str">
        <x:v>验证</x:v>
      </x:c>
      <x:c r="D1" s="138" t="str">
        <x:v>网页</x:v>
      </x:c>
    </x:row>
    <x:row r="2">
      <x:c r="A2" s="220" t="str">
        <x:v>已编入索引，尽管遭到 robots.txt 屏蔽</x:v>
      </x:c>
      <x:c r="B2" s="221" t="str">
        <x:v>网站</x:v>
      </x:c>
      <x:c r="C2" s="221" t="str">
        <x:v>失败</x:v>
      </x:c>
      <x:c r="D2" s="232" t="n">
        <x:v>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</x:cols>
  <x:sheetData>
    <x:row r="1">
      <x:c r="A1" s="136" t="str">
        <x:v>资源</x:v>
      </x:c>
      <x:c r="B1" s="138" t="str">
        <x:v>值</x:v>
      </x:c>
    </x:row>
    <x:row r="2">
      <x:c r="A2" s="220" t="str">
        <x:v>站点地图</x:v>
      </x:c>
      <x:c r="B2" s="222" t="str">
        <x:v>所有已知网页</x:v>
      </x:c>
    </x:row>
  </x:sheetData>
  <x:pageMargins left="0.7" right="0.7" top="0.75" bottom="0.75" header="0.3" footer="0.3"/>
</x:worksheet>
</file>